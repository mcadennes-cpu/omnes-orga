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ulement V2" sheetId="1" r:id="rId5"/>
    <sheet name="Matthieu Cadennes" sheetId="2" r:id="rId6"/>
    <sheet name="Caroline Chauvet" sheetId="3" r:id="rId7"/>
    <sheet name="Xavier Baudrillart" sheetId="4" r:id="rId8"/>
    <sheet name="Thomas Etienne" sheetId="5" r:id="rId9"/>
    <sheet name="Airelle Sauvage" sheetId="6" r:id="rId10"/>
    <sheet name="Christophe Bertrand" sheetId="7" r:id="rId11"/>
    <sheet name="Imane El Gari" sheetId="8" r:id="rId12"/>
    <sheet name="Laurène Daudin" sheetId="9" r:id="rId13"/>
    <sheet name="Mireille Yuan" sheetId="10" r:id="rId1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<sst xmlns="http://schemas.openxmlformats.org/spreadsheetml/2006/main" uniqueCount="75">
  <si>
    <r>
      <rPr>
        <b val="1"/>
        <sz val="13"/>
        <color indexed="8"/>
        <rFont val="Calibri"/>
      </rPr>
      <t>ROULEMENT MÉDECINS ASSOCIÉS — V2 optimisée (Octobre 2026)</t>
    </r>
  </si>
  <si>
    <t>Jour</t>
  </si>
  <si>
    <t>Créneau</t>
  </si>
  <si>
    <t>S1 Beaune</t>
  </si>
  <si>
    <t>S1 Dijon</t>
  </si>
  <si>
    <t>S2 Beaune</t>
  </si>
  <si>
    <t>S2 Dijon</t>
  </si>
  <si>
    <t>S3 Beaune</t>
  </si>
  <si>
    <t>S3 Dijon</t>
  </si>
  <si>
    <t>S4 Beaune</t>
  </si>
  <si>
    <t>S4 Dijon</t>
  </si>
  <si>
    <t>S5 Beaune</t>
  </si>
  <si>
    <t>S5 Dijon</t>
  </si>
  <si>
    <t>S6 Beaune</t>
  </si>
  <si>
    <t>S6 Dijon</t>
  </si>
  <si>
    <t>S7 Beaune</t>
  </si>
  <si>
    <t>S7 Dijon</t>
  </si>
  <si>
    <t>S8 Beaune</t>
  </si>
  <si>
    <t>S8 Dijon</t>
  </si>
  <si>
    <t>Lundi</t>
  </si>
  <si>
    <t>J1</t>
  </si>
  <si>
    <t>CB</t>
  </si>
  <si>
    <t>TE</t>
  </si>
  <si>
    <t>XB</t>
  </si>
  <si>
    <t>CC</t>
  </si>
  <si>
    <t>J2</t>
  </si>
  <si>
    <t>IEG</t>
  </si>
  <si>
    <t>MY</t>
  </si>
  <si>
    <t>MC</t>
  </si>
  <si>
    <t>AS</t>
  </si>
  <si>
    <t>J3</t>
  </si>
  <si>
    <t>J4</t>
  </si>
  <si>
    <t>LD</t>
  </si>
  <si>
    <t>J6</t>
  </si>
  <si>
    <t>J7</t>
  </si>
  <si>
    <t>J8</t>
  </si>
  <si>
    <t>Mardi</t>
  </si>
  <si>
    <t>Mercredi</t>
  </si>
  <si>
    <t>Jeudi</t>
  </si>
  <si>
    <t>vendredi</t>
  </si>
  <si>
    <t>Samedi</t>
  </si>
  <si>
    <t>Garde</t>
  </si>
  <si>
    <t>Doublon</t>
  </si>
  <si>
    <t>Dimanche</t>
  </si>
  <si>
    <t>Planning V2 — Matthieu Cadennes (MC)</t>
  </si>
  <si>
    <t>Roulement sur 8 semaines · lié à la feuille "Roulement V2" (mise à jour automatique)</t>
  </si>
  <si>
    <t>S1</t>
  </si>
  <si>
    <t>S2</t>
  </si>
  <si>
    <t>S3</t>
  </si>
  <si>
    <t>S4</t>
  </si>
  <si>
    <t>S5</t>
  </si>
  <si>
    <t>S6</t>
  </si>
  <si>
    <t>S7</t>
  </si>
  <si>
    <t>S8</t>
  </si>
  <si>
    <t>Garde · Dijon</t>
  </si>
  <si>
    <t>Garde · Beaune</t>
  </si>
  <si>
    <t>Récapitulatif — sur 8 semaines (mise à jour automatique)</t>
  </si>
  <si>
    <t>J1 · 8h-16h</t>
  </si>
  <si>
    <t>Beaune</t>
  </si>
  <si>
    <t>J2 · 14h-22h</t>
  </si>
  <si>
    <t>Dijon</t>
  </si>
  <si>
    <t>Journée · 8h-18h30</t>
  </si>
  <si>
    <t>Total semaine</t>
  </si>
  <si>
    <t>Gardes WE</t>
  </si>
  <si>
    <t>Doublons WE</t>
  </si>
  <si>
    <t>Planning V2 — Caroline Chauvet (CC)</t>
  </si>
  <si>
    <t>Planning V2 — Xavier Baudrillart (XB)</t>
  </si>
  <si>
    <t>Planning V2 — Thomas Etienne (TE)</t>
  </si>
  <si>
    <t>Planning V2 — Airelle Sauvage (AS)</t>
  </si>
  <si>
    <t>Planning V2 — Christophe Bertrand (CB)</t>
  </si>
  <si>
    <t>Planning V2 — Imane El Gari (IEG)</t>
  </si>
  <si>
    <t>Doublon · Beaune</t>
  </si>
  <si>
    <t>Planning V2 — Laurène Daudin (LD)</t>
  </si>
  <si>
    <t>Doublon · Dijon</t>
  </si>
  <si>
    <t>Planning V2 — Mireille Yuan (MY)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</si>
</sst>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Calibri"/>
    </font>
    <font>
      <b val="1"/>
      <sz val="11"/>
      <color indexed="8"/>
      <name val="Calibri"/>
    </font>
    <font>
      <b val="1"/>
      <sz val="12"/>
      <color indexed="8"/>
      <name val="Calibri"/>
    </font>
    <font>
      <i val="1"/>
      <sz val="9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n">
        <color indexed="13"/>
      </right>
      <top style="thick">
        <color indexed="8"/>
      </top>
      <bottom style="thick">
        <color indexed="8"/>
      </bottom>
      <diagonal/>
    </border>
    <border>
      <left style="thin">
        <color indexed="13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3"/>
      </right>
      <top style="thick">
        <color indexed="8"/>
      </top>
      <bottom style="thin">
        <color indexed="13"/>
      </bottom>
      <diagonal/>
    </border>
    <border>
      <left style="thin">
        <color indexed="13"/>
      </left>
      <right style="thick">
        <color indexed="8"/>
      </right>
      <top style="thick">
        <color indexed="8"/>
      </top>
      <bottom style="thin">
        <color indexed="13"/>
      </bottom>
      <diagonal/>
    </border>
    <border>
      <left style="thick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ck">
        <color indexed="8"/>
      </right>
      <top style="thin">
        <color indexed="13"/>
      </top>
      <bottom style="thin">
        <color indexed="13"/>
      </bottom>
      <diagonal/>
    </border>
    <border>
      <left style="thick">
        <color indexed="8"/>
      </left>
      <right style="thin">
        <color indexed="13"/>
      </right>
      <top style="thin">
        <color indexed="13"/>
      </top>
      <bottom style="thick">
        <color indexed="8"/>
      </bottom>
      <diagonal/>
    </border>
    <border>
      <left style="thin">
        <color indexed="13"/>
      </left>
      <right style="thick">
        <color indexed="8"/>
      </right>
      <top style="thin">
        <color indexed="13"/>
      </top>
      <bottom style="thick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4" borderId="3" applyNumberFormat="1" applyFont="1" applyFill="1" applyBorder="1" applyAlignment="1" applyProtection="0">
      <alignment vertical="bottom"/>
    </xf>
    <xf numFmtId="49" fontId="4" fillId="4" borderId="4" applyNumberFormat="1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0" fillId="5" borderId="7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0" fillId="3" borderId="5" applyNumberFormat="1" applyFont="1" applyFill="1" applyBorder="1" applyAlignment="1" applyProtection="0">
      <alignment vertical="bottom"/>
    </xf>
    <xf numFmtId="49" fontId="0" fillId="3" borderId="7" applyNumberFormat="1" applyFont="1" applyFill="1" applyBorder="1" applyAlignment="1" applyProtection="0">
      <alignment vertical="bottom"/>
    </xf>
    <xf numFmtId="49" fontId="0" fillId="5" borderId="10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d9d9d9"/>
      <rgbColor rgb="ffb0b0b0"/>
      <rgbColor rgb="fffbd4b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42"/>
  <sheetViews>
    <sheetView workbookViewId="0" showGridLines="0" defaultGridColor="1"/>
  </sheetViews>
  <sheetFormatPr defaultColWidth="6.66667" defaultRowHeight="15" customHeight="1" outlineLevelRow="0" outlineLevelCol="0"/>
  <cols>
    <col min="1" max="1" width="8.35156" style="1" customWidth="1"/>
    <col min="2" max="2" width="6.85156" style="1" customWidth="1"/>
    <col min="3" max="18" width="5.35156" style="1" customWidth="1"/>
    <col min="19" max="16384" width="6.67188" style="1" customWidth="1"/>
  </cols>
  <sheetData>
    <row r="1" ht="16" customHeight="1">
      <c r="A1" s="2"/>
      <c r="B1" t="s" s="3">
        <v>0</v>
      </c>
      <c r="C1" s="2"/>
      <c r="D1" s="2"/>
      <c r="E1" s="2"/>
      <c r="F1" s="2"/>
      <c r="G1" s="2"/>
      <c r="H1" s="4"/>
      <c r="I1" s="4"/>
      <c r="J1" s="4"/>
      <c r="K1" s="4"/>
      <c r="L1" s="4"/>
      <c r="M1" s="4"/>
      <c r="N1" s="2"/>
      <c r="O1" s="2"/>
      <c r="P1" s="2"/>
      <c r="Q1" s="2"/>
      <c r="R1" s="2"/>
    </row>
    <row r="2" ht="14.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15.5" customHeight="1">
      <c r="A3" t="s" s="6">
        <v>1</v>
      </c>
      <c r="B3" t="s" s="7">
        <v>2</v>
      </c>
      <c r="C3" t="s" s="6">
        <v>3</v>
      </c>
      <c r="D3" t="s" s="7">
        <v>4</v>
      </c>
      <c r="E3" t="s" s="6">
        <v>5</v>
      </c>
      <c r="F3" t="s" s="7">
        <v>6</v>
      </c>
      <c r="G3" t="s" s="6">
        <v>7</v>
      </c>
      <c r="H3" t="s" s="7">
        <v>8</v>
      </c>
      <c r="I3" t="s" s="6">
        <v>9</v>
      </c>
      <c r="J3" t="s" s="7">
        <v>10</v>
      </c>
      <c r="K3" t="s" s="6">
        <v>11</v>
      </c>
      <c r="L3" t="s" s="7">
        <v>12</v>
      </c>
      <c r="M3" t="s" s="6">
        <v>13</v>
      </c>
      <c r="N3" t="s" s="7">
        <v>14</v>
      </c>
      <c r="O3" t="s" s="6">
        <v>15</v>
      </c>
      <c r="P3" t="s" s="7">
        <v>16</v>
      </c>
      <c r="Q3" t="s" s="6">
        <v>17</v>
      </c>
      <c r="R3" t="s" s="7">
        <v>18</v>
      </c>
    </row>
    <row r="4" ht="14.5" customHeight="1">
      <c r="A4" t="s" s="8">
        <v>19</v>
      </c>
      <c r="B4" t="s" s="9">
        <v>20</v>
      </c>
      <c r="C4" t="s" s="10">
        <v>21</v>
      </c>
      <c r="D4" s="11"/>
      <c r="E4" t="s" s="10">
        <v>22</v>
      </c>
      <c r="F4" s="11"/>
      <c r="G4" t="s" s="10">
        <v>23</v>
      </c>
      <c r="H4" s="11"/>
      <c r="I4" t="s" s="10">
        <v>21</v>
      </c>
      <c r="J4" s="11"/>
      <c r="K4" t="s" s="10">
        <v>21</v>
      </c>
      <c r="L4" s="11"/>
      <c r="M4" s="12"/>
      <c r="N4" s="11"/>
      <c r="O4" t="s" s="10">
        <v>23</v>
      </c>
      <c r="P4" s="11"/>
      <c r="Q4" t="s" s="10">
        <v>24</v>
      </c>
      <c r="R4" s="11"/>
    </row>
    <row r="5" ht="13.5" customHeight="1">
      <c r="A5" s="13"/>
      <c r="B5" t="s" s="14">
        <v>25</v>
      </c>
      <c r="C5" t="s" s="15">
        <v>23</v>
      </c>
      <c r="D5" t="s" s="14">
        <v>22</v>
      </c>
      <c r="E5" t="s" s="15">
        <v>26</v>
      </c>
      <c r="F5" t="s" s="14">
        <v>24</v>
      </c>
      <c r="G5" t="s" s="15">
        <v>26</v>
      </c>
      <c r="H5" s="14"/>
      <c r="I5" t="s" s="15">
        <v>27</v>
      </c>
      <c r="J5" t="s" s="14">
        <v>28</v>
      </c>
      <c r="K5" s="13"/>
      <c r="L5" t="s" s="14">
        <v>23</v>
      </c>
      <c r="M5" t="s" s="15">
        <v>24</v>
      </c>
      <c r="N5" t="s" s="14">
        <v>27</v>
      </c>
      <c r="O5" t="s" s="15">
        <v>21</v>
      </c>
      <c r="P5" t="s" s="14">
        <v>29</v>
      </c>
      <c r="Q5" t="s" s="15">
        <v>26</v>
      </c>
      <c r="R5" t="s" s="14">
        <v>28</v>
      </c>
    </row>
    <row r="6" ht="13.5" customHeight="1">
      <c r="A6" s="13"/>
      <c r="B6" t="s" s="14">
        <v>30</v>
      </c>
      <c r="C6" t="s" s="15">
        <v>29</v>
      </c>
      <c r="D6" t="s" s="14">
        <v>28</v>
      </c>
      <c r="E6" t="s" s="15">
        <v>28</v>
      </c>
      <c r="F6" t="s" s="14">
        <v>27</v>
      </c>
      <c r="G6" t="s" s="15">
        <v>27</v>
      </c>
      <c r="H6" t="s" s="14">
        <v>29</v>
      </c>
      <c r="I6" t="s" s="15">
        <v>26</v>
      </c>
      <c r="J6" t="s" s="14">
        <v>24</v>
      </c>
      <c r="K6" t="s" s="15">
        <v>28</v>
      </c>
      <c r="L6" t="s" s="14">
        <v>22</v>
      </c>
      <c r="M6" t="s" s="15">
        <v>28</v>
      </c>
      <c r="N6" t="s" s="14">
        <v>22</v>
      </c>
      <c r="O6" t="s" s="15">
        <v>22</v>
      </c>
      <c r="P6" s="16"/>
      <c r="Q6" s="13"/>
      <c r="R6" t="s" s="14">
        <v>21</v>
      </c>
    </row>
    <row r="7" ht="13.5" customHeight="1">
      <c r="A7" s="13"/>
      <c r="B7" t="s" s="14">
        <v>31</v>
      </c>
      <c r="C7" t="s" s="17">
        <v>26</v>
      </c>
      <c r="D7" t="s" s="14">
        <v>24</v>
      </c>
      <c r="E7" s="13"/>
      <c r="F7" t="s" s="14">
        <v>23</v>
      </c>
      <c r="G7" s="13"/>
      <c r="H7" t="s" s="14">
        <v>21</v>
      </c>
      <c r="I7" s="13"/>
      <c r="J7" t="s" s="14">
        <v>29</v>
      </c>
      <c r="K7" t="s" s="15">
        <v>32</v>
      </c>
      <c r="L7" t="s" s="14">
        <v>24</v>
      </c>
      <c r="M7" s="15"/>
      <c r="N7" t="s" s="14">
        <v>23</v>
      </c>
      <c r="O7" s="15"/>
      <c r="P7" t="s" s="14">
        <v>27</v>
      </c>
      <c r="Q7" s="13"/>
      <c r="R7" t="s" s="14">
        <v>29</v>
      </c>
    </row>
    <row r="8" ht="13.5" customHeight="1">
      <c r="A8" s="13"/>
      <c r="B8" t="s" s="14">
        <v>33</v>
      </c>
      <c r="C8" s="13"/>
      <c r="D8" s="16"/>
      <c r="E8" s="13"/>
      <c r="F8" s="16"/>
      <c r="G8" s="13"/>
      <c r="H8" s="16"/>
      <c r="I8" s="13"/>
      <c r="J8" s="16"/>
      <c r="K8" s="13"/>
      <c r="L8" s="16"/>
      <c r="M8" s="13"/>
      <c r="N8" s="16"/>
      <c r="O8" s="13"/>
      <c r="P8" s="16"/>
      <c r="Q8" s="13"/>
      <c r="R8" s="16"/>
    </row>
    <row r="9" ht="13.5" customHeight="1">
      <c r="A9" s="13"/>
      <c r="B9" t="s" s="14">
        <v>34</v>
      </c>
      <c r="C9" s="13"/>
      <c r="D9" t="s" s="14">
        <v>32</v>
      </c>
      <c r="E9" s="13"/>
      <c r="F9" t="s" s="14">
        <v>32</v>
      </c>
      <c r="G9" s="13"/>
      <c r="H9" t="s" s="14">
        <v>22</v>
      </c>
      <c r="I9" s="13"/>
      <c r="J9" t="s" s="14">
        <v>32</v>
      </c>
      <c r="K9" s="13"/>
      <c r="L9" t="s" s="14">
        <v>29</v>
      </c>
      <c r="M9" s="13"/>
      <c r="N9" t="s" s="14">
        <v>32</v>
      </c>
      <c r="O9" s="13"/>
      <c r="P9" s="16"/>
      <c r="Q9" s="13"/>
      <c r="R9" t="s" s="14">
        <v>27</v>
      </c>
    </row>
    <row r="10" ht="14.5" customHeight="1">
      <c r="A10" s="18"/>
      <c r="B10" t="s" s="19">
        <v>35</v>
      </c>
      <c r="C10" s="18"/>
      <c r="D10" s="20"/>
      <c r="E10" s="18"/>
      <c r="F10" s="20"/>
      <c r="G10" s="18"/>
      <c r="H10" s="20"/>
      <c r="I10" s="18"/>
      <c r="J10" s="20"/>
      <c r="K10" s="18"/>
      <c r="L10" s="20"/>
      <c r="M10" s="18"/>
      <c r="N10" s="20"/>
      <c r="O10" s="18"/>
      <c r="P10" s="20"/>
      <c r="Q10" s="18"/>
      <c r="R10" t="s" s="19">
        <v>32</v>
      </c>
    </row>
    <row r="11" ht="14.5" customHeight="1">
      <c r="A11" t="s" s="8">
        <v>36</v>
      </c>
      <c r="B11" t="s" s="9">
        <v>20</v>
      </c>
      <c r="C11" s="12"/>
      <c r="D11" s="11"/>
      <c r="E11" t="s" s="10">
        <v>26</v>
      </c>
      <c r="F11" s="11"/>
      <c r="G11" t="s" s="21">
        <v>23</v>
      </c>
      <c r="H11" s="11"/>
      <c r="I11" t="s" s="21">
        <v>27</v>
      </c>
      <c r="J11" s="11"/>
      <c r="K11" s="12"/>
      <c r="L11" s="11"/>
      <c r="M11" t="s" s="10">
        <v>26</v>
      </c>
      <c r="N11" s="11"/>
      <c r="O11" t="s" s="10">
        <v>22</v>
      </c>
      <c r="P11" s="11"/>
      <c r="Q11" t="s" s="10">
        <v>23</v>
      </c>
      <c r="R11" s="11"/>
    </row>
    <row r="12" ht="13.5" customHeight="1">
      <c r="A12" s="13"/>
      <c r="B12" t="s" s="14">
        <v>25</v>
      </c>
      <c r="C12" s="15"/>
      <c r="D12" s="16"/>
      <c r="E12" t="s" s="15">
        <v>22</v>
      </c>
      <c r="F12" t="s" s="14">
        <v>28</v>
      </c>
      <c r="G12" t="s" s="15">
        <v>27</v>
      </c>
      <c r="H12" t="s" s="14">
        <v>24</v>
      </c>
      <c r="I12" t="s" s="15">
        <v>28</v>
      </c>
      <c r="J12" s="16"/>
      <c r="K12" t="s" s="17">
        <v>26</v>
      </c>
      <c r="L12" s="16"/>
      <c r="M12" t="s" s="15">
        <v>22</v>
      </c>
      <c r="N12" t="s" s="14">
        <v>28</v>
      </c>
      <c r="O12" t="s" s="15">
        <v>24</v>
      </c>
      <c r="P12" t="s" s="14">
        <v>28</v>
      </c>
      <c r="Q12" t="s" s="15">
        <v>28</v>
      </c>
      <c r="R12" t="s" s="14">
        <v>24</v>
      </c>
    </row>
    <row r="13" ht="13.5" customHeight="1">
      <c r="A13" s="13"/>
      <c r="B13" t="s" s="14">
        <v>30</v>
      </c>
      <c r="C13" t="s" s="15">
        <v>26</v>
      </c>
      <c r="D13" t="s" s="14">
        <v>21</v>
      </c>
      <c r="E13" t="s" s="15">
        <v>24</v>
      </c>
      <c r="F13" t="s" s="14">
        <v>21</v>
      </c>
      <c r="G13" t="s" s="15">
        <v>28</v>
      </c>
      <c r="H13" t="s" s="14">
        <v>22</v>
      </c>
      <c r="I13" t="s" s="15">
        <v>24</v>
      </c>
      <c r="J13" t="s" s="14">
        <v>29</v>
      </c>
      <c r="K13" s="13"/>
      <c r="L13" t="s" s="14">
        <v>21</v>
      </c>
      <c r="M13" t="s" s="15">
        <v>24</v>
      </c>
      <c r="N13" t="s" s="14">
        <v>21</v>
      </c>
      <c r="O13" t="s" s="15">
        <v>29</v>
      </c>
      <c r="P13" t="s" s="14">
        <v>21</v>
      </c>
      <c r="Q13" t="s" s="15">
        <v>27</v>
      </c>
      <c r="R13" t="s" s="14">
        <v>29</v>
      </c>
    </row>
    <row r="14" ht="13.5" customHeight="1">
      <c r="A14" s="13"/>
      <c r="B14" t="s" s="14">
        <v>31</v>
      </c>
      <c r="C14" s="13"/>
      <c r="D14" t="s" s="14">
        <v>27</v>
      </c>
      <c r="E14" s="13"/>
      <c r="F14" t="s" s="14">
        <v>29</v>
      </c>
      <c r="G14" t="s" s="22">
        <v>26</v>
      </c>
      <c r="H14" s="14"/>
      <c r="I14" t="s" s="22">
        <v>26</v>
      </c>
      <c r="J14" t="s" s="14">
        <v>23</v>
      </c>
      <c r="K14" s="13"/>
      <c r="L14" t="s" s="14">
        <v>27</v>
      </c>
      <c r="M14" t="s" s="15">
        <v>27</v>
      </c>
      <c r="N14" t="s" s="14">
        <v>32</v>
      </c>
      <c r="O14" s="13"/>
      <c r="P14" t="s" s="14">
        <v>23</v>
      </c>
      <c r="Q14" t="s" s="17">
        <v>26</v>
      </c>
      <c r="R14" t="s" s="14">
        <v>21</v>
      </c>
    </row>
    <row r="15" ht="13.5" customHeight="1">
      <c r="A15" s="13"/>
      <c r="B15" t="s" s="14">
        <v>33</v>
      </c>
      <c r="C15" s="13"/>
      <c r="D15" s="16"/>
      <c r="E15" s="13"/>
      <c r="F15" s="16"/>
      <c r="G15" s="13"/>
      <c r="H15" s="16"/>
      <c r="I15" s="13"/>
      <c r="J15" s="16"/>
      <c r="K15" s="13"/>
      <c r="L15" s="16"/>
      <c r="M15" s="13"/>
      <c r="N15" s="16"/>
      <c r="O15" s="13"/>
      <c r="P15" s="16"/>
      <c r="Q15" s="13"/>
      <c r="R15" s="16"/>
    </row>
    <row r="16" ht="13.5" customHeight="1">
      <c r="A16" s="13"/>
      <c r="B16" t="s" s="14">
        <v>34</v>
      </c>
      <c r="C16" s="13"/>
      <c r="D16" t="s" s="14">
        <v>29</v>
      </c>
      <c r="E16" s="13"/>
      <c r="F16" t="s" s="14">
        <v>32</v>
      </c>
      <c r="G16" s="13"/>
      <c r="H16" t="s" s="14">
        <v>32</v>
      </c>
      <c r="I16" s="13"/>
      <c r="J16" t="s" s="14">
        <v>32</v>
      </c>
      <c r="K16" s="13"/>
      <c r="L16" t="s" s="14">
        <v>32</v>
      </c>
      <c r="M16" s="13"/>
      <c r="N16" s="16"/>
      <c r="O16" s="13"/>
      <c r="P16" t="s" s="14">
        <v>32</v>
      </c>
      <c r="Q16" s="13"/>
      <c r="R16" t="s" s="14">
        <v>32</v>
      </c>
    </row>
    <row r="17" ht="14.5" customHeight="1">
      <c r="A17" s="18"/>
      <c r="B17" t="s" s="19">
        <v>35</v>
      </c>
      <c r="C17" s="18"/>
      <c r="D17" t="s" s="19">
        <v>32</v>
      </c>
      <c r="E17" s="18"/>
      <c r="F17" s="20"/>
      <c r="G17" s="18"/>
      <c r="H17" s="20"/>
      <c r="I17" s="18"/>
      <c r="J17" s="20"/>
      <c r="K17" s="18"/>
      <c r="L17" t="s" s="23">
        <v>29</v>
      </c>
      <c r="M17" s="18"/>
      <c r="N17" s="20"/>
      <c r="O17" s="18"/>
      <c r="P17" s="20"/>
      <c r="Q17" s="18"/>
      <c r="R17" s="20"/>
    </row>
    <row r="18" ht="14.5" customHeight="1">
      <c r="A18" t="s" s="8">
        <v>37</v>
      </c>
      <c r="B18" t="s" s="9">
        <v>20</v>
      </c>
      <c r="C18" t="s" s="10">
        <v>28</v>
      </c>
      <c r="D18" s="11"/>
      <c r="E18" t="s" s="10">
        <v>22</v>
      </c>
      <c r="F18" s="11"/>
      <c r="G18" t="s" s="10">
        <v>22</v>
      </c>
      <c r="H18" s="11"/>
      <c r="I18" t="s" s="10">
        <v>28</v>
      </c>
      <c r="J18" s="11"/>
      <c r="K18" t="s" s="10">
        <v>28</v>
      </c>
      <c r="L18" s="11"/>
      <c r="M18" t="s" s="10">
        <v>22</v>
      </c>
      <c r="N18" s="11"/>
      <c r="O18" s="12"/>
      <c r="P18" s="11"/>
      <c r="Q18" t="s" s="10">
        <v>28</v>
      </c>
      <c r="R18" s="11"/>
    </row>
    <row r="19" ht="13.5" customHeight="1">
      <c r="A19" s="13"/>
      <c r="B19" t="s" s="14">
        <v>25</v>
      </c>
      <c r="C19" t="s" s="15">
        <v>22</v>
      </c>
      <c r="D19" t="s" s="14">
        <v>29</v>
      </c>
      <c r="E19" t="s" s="15">
        <v>29</v>
      </c>
      <c r="F19" t="s" s="14">
        <v>21</v>
      </c>
      <c r="G19" t="s" s="15">
        <v>21</v>
      </c>
      <c r="H19" t="s" s="14">
        <v>29</v>
      </c>
      <c r="I19" t="s" s="15">
        <v>23</v>
      </c>
      <c r="J19" s="16"/>
      <c r="K19" s="15"/>
      <c r="L19" t="s" s="14">
        <v>29</v>
      </c>
      <c r="M19" t="s" s="15">
        <v>26</v>
      </c>
      <c r="N19" t="s" s="14">
        <v>29</v>
      </c>
      <c r="O19" t="s" s="15">
        <v>21</v>
      </c>
      <c r="P19" t="s" s="14">
        <v>24</v>
      </c>
      <c r="Q19" t="s" s="15">
        <v>23</v>
      </c>
      <c r="R19" s="16"/>
    </row>
    <row r="20" ht="13.5" customHeight="1">
      <c r="A20" s="13"/>
      <c r="B20" t="s" s="14">
        <v>30</v>
      </c>
      <c r="C20" t="s" s="15">
        <v>26</v>
      </c>
      <c r="D20" s="16"/>
      <c r="E20" t="s" s="15">
        <v>23</v>
      </c>
      <c r="F20" s="16"/>
      <c r="G20" t="s" s="15">
        <v>24</v>
      </c>
      <c r="H20" s="16"/>
      <c r="I20" s="15"/>
      <c r="J20" t="s" s="14">
        <v>21</v>
      </c>
      <c r="K20" t="s" s="15">
        <v>22</v>
      </c>
      <c r="L20" s="16"/>
      <c r="M20" t="s" s="15">
        <v>23</v>
      </c>
      <c r="N20" t="s" s="14">
        <v>21</v>
      </c>
      <c r="O20" s="13"/>
      <c r="P20" t="s" s="14">
        <v>22</v>
      </c>
      <c r="Q20" t="s" s="15">
        <v>26</v>
      </c>
      <c r="R20" t="s" s="14">
        <v>29</v>
      </c>
    </row>
    <row r="21" ht="13.5" customHeight="1">
      <c r="A21" s="13"/>
      <c r="B21" t="s" s="14">
        <v>31</v>
      </c>
      <c r="C21" s="13"/>
      <c r="D21" s="16"/>
      <c r="E21" s="13"/>
      <c r="F21" s="16"/>
      <c r="G21" s="15"/>
      <c r="H21" s="16"/>
      <c r="I21" s="13"/>
      <c r="J21" t="s" s="14">
        <v>29</v>
      </c>
      <c r="K21" s="13"/>
      <c r="L21" s="16"/>
      <c r="M21" s="13"/>
      <c r="N21" s="16"/>
      <c r="O21" s="13"/>
      <c r="P21" t="s" s="14">
        <v>29</v>
      </c>
      <c r="Q21" s="13"/>
      <c r="R21" s="16"/>
    </row>
    <row r="22" ht="13.5" customHeight="1">
      <c r="A22" s="13"/>
      <c r="B22" t="s" s="14">
        <v>33</v>
      </c>
      <c r="C22" s="13"/>
      <c r="D22" s="16"/>
      <c r="E22" s="13"/>
      <c r="F22" s="16"/>
      <c r="G22" s="13"/>
      <c r="H22" s="16"/>
      <c r="I22" s="13"/>
      <c r="J22" s="16"/>
      <c r="K22" s="13"/>
      <c r="L22" s="16"/>
      <c r="M22" s="13"/>
      <c r="N22" s="16"/>
      <c r="O22" s="13"/>
      <c r="P22" s="16"/>
      <c r="Q22" s="13"/>
      <c r="R22" s="16"/>
    </row>
    <row r="23" ht="13.5" customHeight="1">
      <c r="A23" s="13"/>
      <c r="B23" t="s" s="14">
        <v>34</v>
      </c>
      <c r="C23" s="13"/>
      <c r="D23" s="16"/>
      <c r="E23" s="13"/>
      <c r="F23" s="16"/>
      <c r="G23" s="13"/>
      <c r="H23" s="16"/>
      <c r="I23" s="13"/>
      <c r="J23" s="16"/>
      <c r="K23" s="13"/>
      <c r="L23" s="16"/>
      <c r="M23" s="13"/>
      <c r="N23" s="16"/>
      <c r="O23" s="13"/>
      <c r="P23" s="16"/>
      <c r="Q23" s="13"/>
      <c r="R23" s="16"/>
    </row>
    <row r="24" ht="14.5" customHeight="1">
      <c r="A24" s="18"/>
      <c r="B24" t="s" s="19">
        <v>35</v>
      </c>
      <c r="C24" s="18"/>
      <c r="D24" s="20"/>
      <c r="E24" s="18"/>
      <c r="F24" s="20"/>
      <c r="G24" s="18"/>
      <c r="H24" s="20"/>
      <c r="I24" s="18"/>
      <c r="J24" s="20"/>
      <c r="K24" s="18"/>
      <c r="L24" s="20"/>
      <c r="M24" s="18"/>
      <c r="N24" s="20"/>
      <c r="O24" s="18"/>
      <c r="P24" s="20"/>
      <c r="Q24" s="18"/>
      <c r="R24" s="20"/>
    </row>
    <row r="25" ht="14.5" customHeight="1">
      <c r="A25" t="s" s="8">
        <v>38</v>
      </c>
      <c r="B25" t="s" s="9">
        <v>20</v>
      </c>
      <c r="C25" t="s" s="10">
        <v>22</v>
      </c>
      <c r="D25" s="11"/>
      <c r="E25" t="s" s="10">
        <v>24</v>
      </c>
      <c r="F25" s="11"/>
      <c r="G25" t="s" s="10">
        <v>24</v>
      </c>
      <c r="H25" s="11"/>
      <c r="I25" t="s" s="10">
        <v>27</v>
      </c>
      <c r="J25" s="11"/>
      <c r="K25" s="10"/>
      <c r="L25" s="11"/>
      <c r="M25" t="s" s="10">
        <v>26</v>
      </c>
      <c r="N25" s="11"/>
      <c r="O25" t="s" s="10">
        <v>24</v>
      </c>
      <c r="P25" s="11"/>
      <c r="Q25" s="12"/>
      <c r="R25" s="11"/>
    </row>
    <row r="26" ht="13.5" customHeight="1">
      <c r="A26" s="13"/>
      <c r="B26" t="s" s="14">
        <v>25</v>
      </c>
      <c r="C26" t="s" s="15">
        <v>32</v>
      </c>
      <c r="D26" t="s" s="14">
        <v>23</v>
      </c>
      <c r="E26" t="s" s="15">
        <v>21</v>
      </c>
      <c r="F26" t="s" s="14">
        <v>22</v>
      </c>
      <c r="G26" t="s" s="15">
        <v>32</v>
      </c>
      <c r="H26" t="s" s="14">
        <v>23</v>
      </c>
      <c r="I26" t="s" s="15">
        <v>26</v>
      </c>
      <c r="J26" t="s" s="14">
        <v>22</v>
      </c>
      <c r="K26" t="s" s="15">
        <v>23</v>
      </c>
      <c r="L26" t="s" s="14">
        <v>27</v>
      </c>
      <c r="M26" t="s" s="15">
        <v>29</v>
      </c>
      <c r="N26" t="s" s="14">
        <v>21</v>
      </c>
      <c r="O26" t="s" s="15">
        <v>27</v>
      </c>
      <c r="P26" t="s" s="14">
        <v>23</v>
      </c>
      <c r="Q26" t="s" s="15">
        <v>26</v>
      </c>
      <c r="R26" t="s" s="14">
        <v>22</v>
      </c>
    </row>
    <row r="27" ht="13.5" customHeight="1">
      <c r="A27" s="13"/>
      <c r="B27" t="s" s="14">
        <v>30</v>
      </c>
      <c r="C27" t="s" s="15">
        <v>27</v>
      </c>
      <c r="D27" t="s" s="14">
        <v>24</v>
      </c>
      <c r="E27" t="s" s="15">
        <v>26</v>
      </c>
      <c r="F27" t="s" s="14">
        <v>23</v>
      </c>
      <c r="G27" t="s" s="17">
        <v>26</v>
      </c>
      <c r="H27" t="s" s="14">
        <v>22</v>
      </c>
      <c r="I27" t="s" s="15">
        <v>23</v>
      </c>
      <c r="J27" t="s" s="14">
        <v>24</v>
      </c>
      <c r="K27" t="s" s="15">
        <v>22</v>
      </c>
      <c r="L27" t="s" s="14">
        <v>32</v>
      </c>
      <c r="M27" t="s" s="15">
        <v>23</v>
      </c>
      <c r="N27" t="s" s="14">
        <v>22</v>
      </c>
      <c r="O27" t="s" s="15">
        <v>22</v>
      </c>
      <c r="P27" t="s" s="14">
        <v>32</v>
      </c>
      <c r="Q27" t="s" s="15">
        <v>23</v>
      </c>
      <c r="R27" t="s" s="14">
        <v>21</v>
      </c>
    </row>
    <row r="28" ht="13.5" customHeight="1">
      <c r="A28" s="13"/>
      <c r="B28" t="s" s="14">
        <v>31</v>
      </c>
      <c r="C28" t="s" s="15">
        <v>26</v>
      </c>
      <c r="D28" t="s" s="14">
        <v>21</v>
      </c>
      <c r="E28" s="13"/>
      <c r="F28" t="s" s="14">
        <v>27</v>
      </c>
      <c r="G28" s="13"/>
      <c r="H28" t="s" s="14">
        <v>27</v>
      </c>
      <c r="I28" s="13"/>
      <c r="J28" t="s" s="14">
        <v>21</v>
      </c>
      <c r="K28" t="s" s="22">
        <v>26</v>
      </c>
      <c r="L28" t="s" s="14">
        <v>21</v>
      </c>
      <c r="M28" s="13"/>
      <c r="N28" t="s" s="14">
        <v>24</v>
      </c>
      <c r="O28" s="13"/>
      <c r="P28" s="16"/>
      <c r="Q28" s="13"/>
      <c r="R28" t="s" s="14">
        <v>24</v>
      </c>
    </row>
    <row r="29" ht="13.5" customHeight="1">
      <c r="A29" s="13"/>
      <c r="B29" t="s" s="14">
        <v>33</v>
      </c>
      <c r="C29" s="13"/>
      <c r="D29" s="16"/>
      <c r="E29" s="13"/>
      <c r="F29" s="16"/>
      <c r="G29" s="13"/>
      <c r="H29" s="16"/>
      <c r="I29" s="13"/>
      <c r="J29" s="16"/>
      <c r="K29" s="13"/>
      <c r="L29" s="16"/>
      <c r="M29" s="13"/>
      <c r="N29" s="16"/>
      <c r="O29" s="13"/>
      <c r="P29" s="16"/>
      <c r="Q29" s="13"/>
      <c r="R29" s="16"/>
    </row>
    <row r="30" ht="13.5" customHeight="1">
      <c r="A30" s="13"/>
      <c r="B30" t="s" s="14">
        <v>34</v>
      </c>
      <c r="C30" s="13"/>
      <c r="D30" s="16"/>
      <c r="E30" s="13"/>
      <c r="F30" t="s" s="14">
        <v>32</v>
      </c>
      <c r="G30" s="13"/>
      <c r="H30" s="16"/>
      <c r="I30" s="13"/>
      <c r="J30" s="14"/>
      <c r="K30" s="13"/>
      <c r="L30" t="s" s="14">
        <v>24</v>
      </c>
      <c r="M30" s="13"/>
      <c r="N30" t="s" s="14">
        <v>27</v>
      </c>
      <c r="O30" s="13"/>
      <c r="P30" s="16"/>
      <c r="Q30" s="13"/>
      <c r="R30" s="14"/>
    </row>
    <row r="31" ht="14.5" customHeight="1">
      <c r="A31" s="18"/>
      <c r="B31" t="s" s="19">
        <v>35</v>
      </c>
      <c r="C31" s="18"/>
      <c r="D31" s="20"/>
      <c r="E31" s="18"/>
      <c r="F31" s="20"/>
      <c r="G31" s="18"/>
      <c r="H31" s="20"/>
      <c r="I31" s="18"/>
      <c r="J31" s="20"/>
      <c r="K31" s="18"/>
      <c r="L31" s="20"/>
      <c r="M31" s="18"/>
      <c r="N31" s="20"/>
      <c r="O31" s="18"/>
      <c r="P31" s="20"/>
      <c r="Q31" s="18"/>
      <c r="R31" s="20"/>
    </row>
    <row r="32" ht="14.5" customHeight="1">
      <c r="A32" t="s" s="8">
        <v>39</v>
      </c>
      <c r="B32" t="s" s="9">
        <v>20</v>
      </c>
      <c r="C32" t="s" s="10">
        <v>23</v>
      </c>
      <c r="D32" s="11"/>
      <c r="E32" t="s" s="10">
        <v>23</v>
      </c>
      <c r="F32" s="11"/>
      <c r="G32" t="s" s="10">
        <v>32</v>
      </c>
      <c r="H32" s="11"/>
      <c r="I32" t="s" s="10">
        <v>29</v>
      </c>
      <c r="J32" s="11"/>
      <c r="K32" t="s" s="10">
        <v>23</v>
      </c>
      <c r="L32" s="11"/>
      <c r="M32" t="s" s="10">
        <v>32</v>
      </c>
      <c r="N32" s="11"/>
      <c r="O32" s="12"/>
      <c r="P32" s="11"/>
      <c r="Q32" t="s" s="10">
        <v>29</v>
      </c>
      <c r="R32" s="11"/>
    </row>
    <row r="33" ht="13.5" customHeight="1">
      <c r="A33" s="13"/>
      <c r="B33" t="s" s="14">
        <v>25</v>
      </c>
      <c r="C33" t="s" s="15">
        <v>26</v>
      </c>
      <c r="D33" t="s" s="14">
        <v>27</v>
      </c>
      <c r="E33" t="s" s="15">
        <v>24</v>
      </c>
      <c r="F33" t="s" s="14">
        <v>28</v>
      </c>
      <c r="G33" t="s" s="15">
        <v>27</v>
      </c>
      <c r="H33" t="s" s="14">
        <v>28</v>
      </c>
      <c r="I33" t="s" s="15">
        <v>22</v>
      </c>
      <c r="J33" t="s" s="14">
        <v>21</v>
      </c>
      <c r="K33" t="s" s="15">
        <v>27</v>
      </c>
      <c r="L33" t="s" s="14">
        <v>32</v>
      </c>
      <c r="M33" t="s" s="15">
        <v>28</v>
      </c>
      <c r="N33" t="s" s="14">
        <v>24</v>
      </c>
      <c r="O33" s="13"/>
      <c r="P33" t="s" s="14">
        <v>32</v>
      </c>
      <c r="Q33" t="s" s="15">
        <v>32</v>
      </c>
      <c r="R33" s="16"/>
    </row>
    <row r="34" ht="13.5" customHeight="1">
      <c r="A34" s="13"/>
      <c r="B34" t="s" s="14">
        <v>30</v>
      </c>
      <c r="C34" t="s" s="15">
        <v>28</v>
      </c>
      <c r="D34" s="16"/>
      <c r="E34" t="s" s="15">
        <v>27</v>
      </c>
      <c r="F34" t="s" s="14">
        <v>29</v>
      </c>
      <c r="G34" s="13"/>
      <c r="H34" s="16"/>
      <c r="I34" t="s" s="15">
        <v>28</v>
      </c>
      <c r="J34" t="s" s="14">
        <v>32</v>
      </c>
      <c r="K34" s="13"/>
      <c r="L34" t="s" s="14">
        <v>28</v>
      </c>
      <c r="M34" t="s" s="15">
        <v>26</v>
      </c>
      <c r="N34" t="s" s="14">
        <v>27</v>
      </c>
      <c r="O34" t="s" s="15">
        <v>28</v>
      </c>
      <c r="P34" t="s" s="14">
        <v>27</v>
      </c>
      <c r="Q34" t="s" s="15">
        <v>22</v>
      </c>
      <c r="R34" t="s" s="14">
        <v>21</v>
      </c>
    </row>
    <row r="35" ht="13.5" customHeight="1">
      <c r="A35" s="13"/>
      <c r="B35" t="s" s="14">
        <v>31</v>
      </c>
      <c r="C35" s="13"/>
      <c r="D35" s="16"/>
      <c r="E35" t="s" s="15">
        <v>26</v>
      </c>
      <c r="F35" s="16"/>
      <c r="G35" t="s" s="15">
        <v>26</v>
      </c>
      <c r="H35" s="16"/>
      <c r="I35" s="13"/>
      <c r="J35" s="16"/>
      <c r="K35" s="13"/>
      <c r="L35" s="16"/>
      <c r="M35" s="13"/>
      <c r="N35" t="s" s="14">
        <v>29</v>
      </c>
      <c r="O35" s="15"/>
      <c r="P35" s="16"/>
      <c r="Q35" s="13"/>
      <c r="R35" t="s" s="14">
        <v>28</v>
      </c>
    </row>
    <row r="36" ht="13.5" customHeight="1">
      <c r="A36" s="13"/>
      <c r="B36" t="s" s="14">
        <v>33</v>
      </c>
      <c r="C36" s="13"/>
      <c r="D36" s="16"/>
      <c r="E36" s="13"/>
      <c r="F36" s="16"/>
      <c r="G36" s="13"/>
      <c r="H36" s="16"/>
      <c r="I36" s="13"/>
      <c r="J36" s="16"/>
      <c r="K36" s="13"/>
      <c r="L36" s="16"/>
      <c r="M36" s="13"/>
      <c r="N36" s="16"/>
      <c r="O36" s="13"/>
      <c r="P36" s="16"/>
      <c r="Q36" s="13"/>
      <c r="R36" s="16"/>
    </row>
    <row r="37" ht="13.5" customHeight="1">
      <c r="A37" s="13"/>
      <c r="B37" t="s" s="14">
        <v>34</v>
      </c>
      <c r="C37" s="13"/>
      <c r="D37" s="16"/>
      <c r="E37" s="13"/>
      <c r="F37" s="16"/>
      <c r="G37" s="13"/>
      <c r="H37" s="16"/>
      <c r="I37" s="13"/>
      <c r="J37" s="16"/>
      <c r="K37" s="13"/>
      <c r="L37" s="16"/>
      <c r="M37" s="13"/>
      <c r="N37" t="s" s="14">
        <v>23</v>
      </c>
      <c r="O37" s="13"/>
      <c r="P37" s="16"/>
      <c r="Q37" s="13"/>
      <c r="R37" t="s" s="14">
        <v>27</v>
      </c>
    </row>
    <row r="38" ht="14.5" customHeight="1">
      <c r="A38" s="18"/>
      <c r="B38" t="s" s="19">
        <v>35</v>
      </c>
      <c r="C38" s="18"/>
      <c r="D38" s="20"/>
      <c r="E38" s="18"/>
      <c r="F38" s="20"/>
      <c r="G38" s="18"/>
      <c r="H38" s="20"/>
      <c r="I38" s="18"/>
      <c r="J38" s="20"/>
      <c r="K38" s="18"/>
      <c r="L38" s="20"/>
      <c r="M38" s="18"/>
      <c r="N38" s="20"/>
      <c r="O38" s="18"/>
      <c r="P38" s="20"/>
      <c r="Q38" s="18"/>
      <c r="R38" s="20"/>
    </row>
    <row r="39" ht="14.5" customHeight="1">
      <c r="A39" t="s" s="8">
        <v>40</v>
      </c>
      <c r="B39" t="s" s="9">
        <v>41</v>
      </c>
      <c r="C39" t="s" s="10">
        <v>21</v>
      </c>
      <c r="D39" t="s" s="9">
        <v>29</v>
      </c>
      <c r="E39" t="s" s="10">
        <v>24</v>
      </c>
      <c r="F39" t="s" s="9">
        <v>28</v>
      </c>
      <c r="G39" t="s" s="10">
        <v>23</v>
      </c>
      <c r="H39" t="s" s="9">
        <v>22</v>
      </c>
      <c r="I39" t="s" s="10">
        <v>26</v>
      </c>
      <c r="J39" t="s" s="9">
        <v>27</v>
      </c>
      <c r="K39" t="s" s="10">
        <v>29</v>
      </c>
      <c r="L39" t="s" s="9">
        <v>21</v>
      </c>
      <c r="M39" t="s" s="10">
        <v>28</v>
      </c>
      <c r="N39" t="s" s="9">
        <v>24</v>
      </c>
      <c r="O39" t="s" s="10">
        <v>22</v>
      </c>
      <c r="P39" t="s" s="9">
        <v>23</v>
      </c>
      <c r="Q39" t="s" s="10">
        <v>27</v>
      </c>
      <c r="R39" s="11"/>
    </row>
    <row r="40" ht="14.5" customHeight="1">
      <c r="A40" s="18"/>
      <c r="B40" t="s" s="19">
        <v>42</v>
      </c>
      <c r="C40" s="18"/>
      <c r="D40" s="20"/>
      <c r="E40" t="s" s="24">
        <v>32</v>
      </c>
      <c r="F40" s="20"/>
      <c r="G40" s="18"/>
      <c r="H40" s="20"/>
      <c r="I40" s="18"/>
      <c r="J40" s="20"/>
      <c r="K40" t="s" s="24">
        <v>26</v>
      </c>
      <c r="L40" s="20"/>
      <c r="M40" s="18"/>
      <c r="N40" t="s" s="19">
        <v>32</v>
      </c>
      <c r="O40" s="18"/>
      <c r="P40" s="20"/>
      <c r="Q40" t="s" s="24">
        <v>26</v>
      </c>
      <c r="R40" s="20"/>
    </row>
    <row r="41" ht="14.5" customHeight="1">
      <c r="A41" t="s" s="8">
        <v>43</v>
      </c>
      <c r="B41" t="s" s="9">
        <v>41</v>
      </c>
      <c r="C41" t="s" s="10">
        <v>21</v>
      </c>
      <c r="D41" t="s" s="9">
        <v>29</v>
      </c>
      <c r="E41" t="s" s="10">
        <v>24</v>
      </c>
      <c r="F41" t="s" s="9">
        <v>28</v>
      </c>
      <c r="G41" t="s" s="10">
        <v>23</v>
      </c>
      <c r="H41" t="s" s="9">
        <v>22</v>
      </c>
      <c r="I41" t="s" s="10">
        <v>26</v>
      </c>
      <c r="J41" t="s" s="9">
        <v>27</v>
      </c>
      <c r="K41" t="s" s="10">
        <v>29</v>
      </c>
      <c r="L41" t="s" s="9">
        <v>21</v>
      </c>
      <c r="M41" t="s" s="10">
        <v>28</v>
      </c>
      <c r="N41" t="s" s="9">
        <v>24</v>
      </c>
      <c r="O41" t="s" s="10">
        <v>22</v>
      </c>
      <c r="P41" t="s" s="9">
        <v>23</v>
      </c>
      <c r="Q41" t="s" s="10">
        <v>27</v>
      </c>
      <c r="R41" s="11"/>
    </row>
    <row r="42" ht="14.5" customHeight="1">
      <c r="A42" s="18"/>
      <c r="B42" t="s" s="19">
        <v>42</v>
      </c>
      <c r="C42" s="18"/>
      <c r="D42" s="20"/>
      <c r="E42" t="s" s="24">
        <v>32</v>
      </c>
      <c r="F42" s="20"/>
      <c r="G42" s="18"/>
      <c r="H42" s="20"/>
      <c r="I42" s="18"/>
      <c r="J42" s="20"/>
      <c r="K42" s="18"/>
      <c r="L42" s="20"/>
      <c r="M42" s="18"/>
      <c r="N42" t="s" s="19">
        <v>32</v>
      </c>
      <c r="O42" s="18"/>
      <c r="P42" s="20"/>
      <c r="Q42" t="s" s="24">
        <v>26</v>
      </c>
      <c r="R42" s="20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R47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25" customWidth="1"/>
    <col min="2" max="9" width="18" style="25" customWidth="1"/>
    <col min="10" max="18" width="6.67188" style="25" customWidth="1"/>
    <col min="19" max="16384" width="6.67188" style="25" customWidth="1"/>
  </cols>
  <sheetData>
    <row r="1" ht="15.25" customHeight="1">
      <c r="A1" t="s" s="26">
        <v>44</v>
      </c>
      <c r="B1" s="2"/>
      <c r="C1" s="2"/>
      <c r="D1" s="2"/>
      <c r="E1" s="2"/>
      <c r="F1" s="2"/>
      <c r="G1" s="2"/>
      <c r="H1" s="2"/>
      <c r="I1" s="2"/>
      <c r="J1" s="27"/>
      <c r="K1" s="28"/>
      <c r="L1" s="28"/>
      <c r="M1" s="28"/>
      <c r="N1" s="28"/>
      <c r="O1" s="28"/>
      <c r="P1" s="28"/>
      <c r="Q1" s="28"/>
      <c r="R1" s="29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  <c r="J2" s="31"/>
      <c r="K2" s="32"/>
      <c r="L2" s="32"/>
      <c r="M2" s="32"/>
      <c r="N2" s="32"/>
      <c r="O2" s="32"/>
      <c r="P2" s="32"/>
      <c r="Q2" s="32"/>
      <c r="R2" s="33"/>
    </row>
    <row r="3" ht="13.5" customHeight="1">
      <c r="A3" s="2"/>
      <c r="B3" s="2"/>
      <c r="C3" s="2"/>
      <c r="D3" s="2"/>
      <c r="E3" s="2"/>
      <c r="F3" s="2"/>
      <c r="G3" s="2"/>
      <c r="H3" s="2"/>
      <c r="I3" s="2"/>
      <c r="J3" s="31"/>
      <c r="K3" s="32"/>
      <c r="L3" s="32"/>
      <c r="M3" s="32"/>
      <c r="N3" s="32"/>
      <c r="O3" s="32"/>
      <c r="P3" s="32"/>
      <c r="Q3" s="32"/>
      <c r="R3" s="33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  <c r="J4" s="31"/>
      <c r="K4" s="32"/>
      <c r="L4" s="32"/>
      <c r="M4" s="32"/>
      <c r="N4" s="32"/>
      <c r="O4" s="32"/>
      <c r="P4" s="32"/>
      <c r="Q4" s="32"/>
      <c r="R4" s="33"/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  <c r="J5" s="31"/>
      <c r="K5" s="32"/>
      <c r="L5" s="32"/>
      <c r="M5" s="32"/>
      <c r="N5" s="32"/>
      <c r="O5" s="32"/>
      <c r="P5" s="32"/>
      <c r="Q5" s="32"/>
      <c r="R5" s="33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  <c r="J6" s="31"/>
      <c r="K6" s="32"/>
      <c r="L6" s="32"/>
      <c r="M6" s="32"/>
      <c r="N6" s="32"/>
      <c r="O6" s="32"/>
      <c r="P6" s="32"/>
      <c r="Q6" s="32"/>
      <c r="R6" s="33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  <c r="J7" s="31"/>
      <c r="K7" s="32"/>
      <c r="L7" s="32"/>
      <c r="M7" s="32"/>
      <c r="N7" s="32"/>
      <c r="O7" s="32"/>
      <c r="P7" s="32"/>
      <c r="Q7" s="32"/>
      <c r="R7" s="33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  <c r="J8" s="31"/>
      <c r="K8" s="32"/>
      <c r="L8" s="32"/>
      <c r="M8" s="32"/>
      <c r="N8" s="32"/>
      <c r="O8" s="32"/>
      <c r="P8" s="32"/>
      <c r="Q8" s="32"/>
      <c r="R8" s="33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  <c r="J9" s="31"/>
      <c r="K9" s="32"/>
      <c r="L9" s="32"/>
      <c r="M9" s="32"/>
      <c r="N9" s="32"/>
      <c r="O9" s="32"/>
      <c r="P9" s="32"/>
      <c r="Q9" s="32"/>
      <c r="R9" s="33"/>
    </row>
    <row r="10" ht="13.5" customHeight="1">
      <c r="A10" t="s" s="35">
        <v>40</v>
      </c>
      <c r="B10" t="str" s="2" cm="1">
        <f t="array" ref="B10">_xlfn.TEXTJOIN(" + ",TRUE,IF('Roulement V2'!C39="MC","Garde · Beaune",""),IF('Roulement V2'!D39="MC","Garde · Dijon",""),IF('Roulement V2'!C40="MC","Doublon · Beaune",""),IF('Roulement V2'!D40="MC","Doublon · Dijon",""))</f>
      </c>
      <c r="C10" t="str" s="2" cm="1">
        <f t="array" ref="C10">_xlfn.TEXTJOIN(" + ",TRUE,IF('Roulement V2'!E39="MC","Garde · Beaune",""),IF('Roulement V2'!F39="MC","Garde · Dijon",""),IF('Roulement V2'!E40="MC","Doublon · Beaune",""),IF('Roulement V2'!F40="MC","Doublon · Dijon",""))</f>
        <v>Garde · Dijon</v>
      </c>
      <c r="D10" t="str" s="2" cm="1">
        <f t="array" ref="D10">_xlfn.TEXTJOIN(" + ",TRUE,IF('Roulement V2'!G39="MC","Garde · Beaune",""),IF('Roulement V2'!H39="MC","Garde · Dijon",""),IF('Roulement V2'!G40="MC","Doublon · Beaune",""),IF('Roulement V2'!H40="MC","Doublon · Dijon",""))</f>
      </c>
      <c r="E10" t="str" s="2" cm="1">
        <f t="array" ref="E10">_xlfn.TEXTJOIN(" + ",TRUE,IF('Roulement V2'!I39="MC","Garde · Beaune",""),IF('Roulement V2'!J39="MC","Garde · Dijon",""),IF('Roulement V2'!I40="MC","Doublon · Beaune",""),IF('Roulement V2'!J40="MC","Doublon · Dijon",""))</f>
      </c>
      <c r="F10" t="str" s="2" cm="1">
        <f t="array" ref="F10">_xlfn.TEXTJOIN(" + ",TRUE,IF('Roulement V2'!K39="MC","Garde · Beaune",""),IF('Roulement V2'!L39="MC","Garde · Dijon",""),IF('Roulement V2'!K40="MC","Doublon · Beaune",""),IF('Roulement V2'!L40="MC","Doublon · Dijon",""))</f>
      </c>
      <c r="G10" t="str" s="2" cm="1">
        <f t="array" ref="G10">_xlfn.TEXTJOIN(" + ",TRUE,IF('Roulement V2'!M39="MC","Garde · Beaune",""),IF('Roulement V2'!N39="MC","Garde · Dijon",""),IF('Roulement V2'!M40="MC","Doublon · Beaune",""),IF('Roulement V2'!N40="MC","Doublon · Dijon",""))</f>
        <v>Garde · Beaune</v>
      </c>
      <c r="H10" t="str" s="2" cm="1">
        <f t="array" ref="H10">_xlfn.TEXTJOIN(" + ",TRUE,IF('Roulement V2'!O39="MC","Garde · Beaune",""),IF('Roulement V2'!P39="MC","Garde · Dijon",""),IF('Roulement V2'!O40="MC","Doublon · Beaune",""),IF('Roulement V2'!P40="MC","Doublon · Dijon",""))</f>
      </c>
      <c r="I10" t="str" s="2" cm="1">
        <f t="array" ref="I10">_xlfn.TEXTJOIN(" + ",TRUE,IF('Roulement V2'!Q39="MC","Garde · Beaune",""),IF('Roulement V2'!R39="MC","Garde · Dijon",""),IF('Roulement V2'!Q40="MC","Doublon · Beaune",""),IF('Roulement V2'!R40="MC","Doublon · Dijon",""))</f>
      </c>
      <c r="J10" s="31"/>
      <c r="K10" s="32"/>
      <c r="L10" s="32"/>
      <c r="M10" s="32"/>
      <c r="N10" s="32"/>
      <c r="O10" s="32"/>
      <c r="P10" s="32"/>
      <c r="Q10" s="32"/>
      <c r="R10" s="33"/>
    </row>
    <row r="11" ht="13.5" customHeight="1">
      <c r="A11" t="s" s="35">
        <v>43</v>
      </c>
      <c r="B11" t="str" s="2" cm="1">
        <f t="array" ref="B11">_xlfn.TEXTJOIN(" + ",TRUE,IF('Roulement V2'!C41="MC","Garde · Beaune",""),IF('Roulement V2'!D41="MC","Garde · Dijon",""),IF('Roulement V2'!C42="MC","Doublon · Beaune",""),IF('Roulement V2'!D42="MC","Doublon · Dijon",""))</f>
      </c>
      <c r="C11" t="str" s="2" cm="1">
        <f t="array" ref="C11">_xlfn.TEXTJOIN(" + ",TRUE,IF('Roulement V2'!E41="MC","Garde · Beaune",""),IF('Roulement V2'!F41="MC","Garde · Dijon",""),IF('Roulement V2'!E42="MC","Doublon · Beaune",""),IF('Roulement V2'!F42="MC","Doublon · Dijon",""))</f>
        <v>Garde · Dijon</v>
      </c>
      <c r="D11" t="str" s="2" cm="1">
        <f t="array" ref="D11">_xlfn.TEXTJOIN(" + ",TRUE,IF('Roulement V2'!G41="MC","Garde · Beaune",""),IF('Roulement V2'!H41="MC","Garde · Dijon",""),IF('Roulement V2'!G42="MC","Doublon · Beaune",""),IF('Roulement V2'!H42="MC","Doublon · Dijon",""))</f>
      </c>
      <c r="E11" t="str" s="2" cm="1">
        <f t="array" ref="E11">_xlfn.TEXTJOIN(" + ",TRUE,IF('Roulement V2'!I41="MC","Garde · Beaune",""),IF('Roulement V2'!J41="MC","Garde · Dijon",""),IF('Roulement V2'!I42="MC","Doublon · Beaune",""),IF('Roulement V2'!J42="MC","Doublon · Dijon",""))</f>
      </c>
      <c r="F11" t="str" s="2" cm="1">
        <f t="array" ref="F11">_xlfn.TEXTJOIN(" + ",TRUE,IF('Roulement V2'!K41="MC","Garde · Beaune",""),IF('Roulement V2'!L41="MC","Garde · Dijon",""),IF('Roulement V2'!K42="MC","Doublon · Beaune",""),IF('Roulement V2'!L42="MC","Doublon · Dijon",""))</f>
      </c>
      <c r="G11" t="str" s="2" cm="1">
        <f t="array" ref="G11">_xlfn.TEXTJOIN(" + ",TRUE,IF('Roulement V2'!M41="MC","Garde · Beaune",""),IF('Roulement V2'!N41="MC","Garde · Dijon",""),IF('Roulement V2'!M42="MC","Doublon · Beaune",""),IF('Roulement V2'!N42="MC","Doublon · Dijon",""))</f>
        <v>Garde · Beaune</v>
      </c>
      <c r="H11" t="str" s="2" cm="1">
        <f t="array" ref="H11">_xlfn.TEXTJOIN(" + ",TRUE,IF('Roulement V2'!O41="MC","Garde · Beaune",""),IF('Roulement V2'!P41="MC","Garde · Dijon",""),IF('Roulement V2'!O42="MC","Doublon · Beaune",""),IF('Roulement V2'!P42="MC","Doublon · Dijon",""))</f>
      </c>
      <c r="I11" t="str" s="2" cm="1">
        <f t="array" ref="I11">_xlfn.TEXTJOIN(" + ",TRUE,IF('Roulement V2'!Q41="MC","Garde · Beaune",""),IF('Roulement V2'!R41="MC","Garde · Dijon",""),IF('Roulement V2'!Q42="MC","Doublon · Beaune",""),IF('Roulement V2'!R42="MC","Doublon · Dijon",""))</f>
      </c>
      <c r="J11" s="31"/>
      <c r="K11" s="32"/>
      <c r="L11" s="32"/>
      <c r="M11" s="32"/>
      <c r="N11" s="32"/>
      <c r="O11" s="32"/>
      <c r="P11" s="32"/>
      <c r="Q11" s="32"/>
      <c r="R11" s="33"/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  <c r="J12" s="31"/>
      <c r="K12" s="32"/>
      <c r="L12" s="32"/>
      <c r="M12" s="32"/>
      <c r="N12" s="32"/>
      <c r="O12" s="32"/>
      <c r="P12" s="32"/>
      <c r="Q12" s="32"/>
      <c r="R12" s="33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  <c r="J13" s="31"/>
      <c r="K13" s="32"/>
      <c r="L13" s="32"/>
      <c r="M13" s="32"/>
      <c r="N13" s="32"/>
      <c r="O13" s="32"/>
      <c r="P13" s="32"/>
      <c r="Q13" s="32"/>
      <c r="R13" s="33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  <c r="J14" s="31"/>
      <c r="K14" s="32"/>
      <c r="L14" s="32"/>
      <c r="M14" s="32"/>
      <c r="N14" s="32"/>
      <c r="O14" s="32"/>
      <c r="P14" s="32"/>
      <c r="Q14" s="32"/>
      <c r="R14" s="33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  <c r="J15" s="31"/>
      <c r="K15" s="32"/>
      <c r="L15" s="32"/>
      <c r="M15" s="32"/>
      <c r="N15" s="32"/>
      <c r="O15" s="32"/>
      <c r="P15" s="32"/>
      <c r="Q15" s="32"/>
      <c r="R15" s="33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  <c r="J16" s="31"/>
      <c r="K16" s="32"/>
      <c r="L16" s="32"/>
      <c r="M16" s="32"/>
      <c r="N16" s="32"/>
      <c r="O16" s="32"/>
      <c r="P16" s="32"/>
      <c r="Q16" s="32"/>
      <c r="R16" s="33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  <c r="J17" s="31"/>
      <c r="K17" s="32"/>
      <c r="L17" s="32"/>
      <c r="M17" s="32"/>
      <c r="N17" s="32"/>
      <c r="O17" s="32"/>
      <c r="P17" s="32"/>
      <c r="Q17" s="32"/>
      <c r="R17" s="33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  <c r="J18" s="31"/>
      <c r="K18" s="32"/>
      <c r="L18" s="32"/>
      <c r="M18" s="32"/>
      <c r="N18" s="32"/>
      <c r="O18" s="32"/>
      <c r="P18" s="32"/>
      <c r="Q18" s="32"/>
      <c r="R18" s="33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  <c r="J19" s="31"/>
      <c r="K19" s="32"/>
      <c r="L19" s="32"/>
      <c r="M19" s="32"/>
      <c r="N19" s="32"/>
      <c r="O19" s="32"/>
      <c r="P19" s="32"/>
      <c r="Q19" s="32"/>
      <c r="R19" s="33"/>
    </row>
    <row r="20" ht="13.5" customHeight="1">
      <c r="A20" s="27"/>
      <c r="B20" s="28"/>
      <c r="C20" s="28"/>
      <c r="D20" s="28"/>
      <c r="E20" s="28"/>
      <c r="F20" s="28"/>
      <c r="G20" s="28"/>
      <c r="H20" s="28"/>
      <c r="I20" s="28"/>
      <c r="J20" s="32"/>
      <c r="K20" s="32"/>
      <c r="L20" s="32"/>
      <c r="M20" s="32"/>
      <c r="N20" s="32"/>
      <c r="O20" s="32"/>
      <c r="P20" s="32"/>
      <c r="Q20" s="32"/>
      <c r="R20" s="33"/>
    </row>
    <row r="21" ht="13.5" customHeight="1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3"/>
    </row>
    <row r="22" ht="13.5" customHeight="1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3"/>
    </row>
    <row r="23" ht="13.5" customHeight="1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3"/>
    </row>
    <row r="24" ht="13.5" customHeight="1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3"/>
    </row>
    <row r="25" ht="13.5" customHeight="1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3"/>
    </row>
    <row r="26" ht="13.5" customHeight="1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3"/>
    </row>
    <row r="27" ht="13.5" customHeight="1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3"/>
    </row>
    <row r="28" ht="13.5" customHeight="1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ht="13.5" customHeight="1">
      <c r="A29" s="31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3"/>
    </row>
    <row r="30" ht="13.5" customHeight="1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3"/>
    </row>
    <row r="31" ht="13.5" customHeight="1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3"/>
    </row>
    <row r="32" ht="13.5" customHeight="1">
      <c r="A32" s="31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3"/>
    </row>
    <row r="33" ht="13.5" customHeight="1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3"/>
    </row>
    <row r="34" ht="13.5" customHeight="1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3"/>
    </row>
    <row r="35" ht="13.5" customHeight="1">
      <c r="A35" s="31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3"/>
    </row>
    <row r="36" ht="13.5" customHeight="1">
      <c r="A36" s="31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3"/>
    </row>
    <row r="37" ht="13.5" customHeight="1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3"/>
    </row>
    <row r="38" ht="13.5" customHeight="1">
      <c r="A38" s="31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3"/>
    </row>
    <row r="39" ht="13.5" customHeight="1">
      <c r="A39" s="31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3"/>
    </row>
    <row r="40" ht="13.5" customHeight="1">
      <c r="A40" s="31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3"/>
    </row>
    <row r="41" ht="13.5" customHeight="1">
      <c r="A41" s="31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3"/>
    </row>
    <row r="42" ht="13.5" customHeight="1">
      <c r="A42" s="31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</row>
    <row r="43" ht="13.5" customHeight="1">
      <c r="A43" s="31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3"/>
    </row>
    <row r="44" ht="13.5" customHeight="1">
      <c r="A44" s="31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3"/>
    </row>
    <row r="45" ht="13.5" customHeight="1">
      <c r="A45" s="31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3"/>
    </row>
    <row r="46" ht="13.5" customHeight="1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3"/>
    </row>
    <row r="47" ht="13.5" customHeight="1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40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1" customWidth="1"/>
    <col min="2" max="9" width="18" style="41" customWidth="1"/>
    <col min="10" max="16384" width="6.67188" style="41" customWidth="1"/>
  </cols>
  <sheetData>
    <row r="1" ht="15.25" customHeight="1">
      <c r="A1" t="s" s="26">
        <v>65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V2'!C39="CC","Garde · Beaune",""),IF('Roulement V2'!D39="CC","Garde · Dijon",""),IF('Roulement V2'!C40="CC","Doublon · Beaune",""),IF('Roulement V2'!D40="CC","Doublon · Dijon",""))</f>
      </c>
      <c r="C10" t="str" s="2" cm="1">
        <f t="array" ref="C10">_xlfn.TEXTJOIN(" + ",TRUE,IF('Roulement V2'!E39="CC","Garde · Beaune",""),IF('Roulement V2'!F39="CC","Garde · Dijon",""),IF('Roulement V2'!E40="CC","Doublon · Beaune",""),IF('Roulement V2'!F40="CC","Doublon · Dijon",""))</f>
        <v>Garde · Beaune</v>
      </c>
      <c r="D10" t="str" s="2" cm="1">
        <f t="array" ref="D10">_xlfn.TEXTJOIN(" + ",TRUE,IF('Roulement V2'!G39="CC","Garde · Beaune",""),IF('Roulement V2'!H39="CC","Garde · Dijon",""),IF('Roulement V2'!G40="CC","Doublon · Beaune",""),IF('Roulement V2'!H40="CC","Doublon · Dijon",""))</f>
      </c>
      <c r="E10" t="str" s="2" cm="1">
        <f t="array" ref="E10">_xlfn.TEXTJOIN(" + ",TRUE,IF('Roulement V2'!I39="CC","Garde · Beaune",""),IF('Roulement V2'!J39="CC","Garde · Dijon",""),IF('Roulement V2'!I40="CC","Doublon · Beaune",""),IF('Roulement V2'!J40="CC","Doublon · Dijon",""))</f>
      </c>
      <c r="F10" t="str" s="2" cm="1">
        <f t="array" ref="F10">_xlfn.TEXTJOIN(" + ",TRUE,IF('Roulement V2'!K39="CC","Garde · Beaune",""),IF('Roulement V2'!L39="CC","Garde · Dijon",""),IF('Roulement V2'!K40="CC","Doublon · Beaune",""),IF('Roulement V2'!L40="CC","Doublon · Dijon",""))</f>
      </c>
      <c r="G10" t="str" s="2" cm="1">
        <f t="array" ref="G10">_xlfn.TEXTJOIN(" + ",TRUE,IF('Roulement V2'!M39="CC","Garde · Beaune",""),IF('Roulement V2'!N39="CC","Garde · Dijon",""),IF('Roulement V2'!M40="CC","Doublon · Beaune",""),IF('Roulement V2'!N40="CC","Doublon · Dijon",""))</f>
        <v>Garde · Dijon</v>
      </c>
      <c r="H10" t="str" s="2" cm="1">
        <f t="array" ref="H10">_xlfn.TEXTJOIN(" + ",TRUE,IF('Roulement V2'!O39="CC","Garde · Beaune",""),IF('Roulement V2'!P39="CC","Garde · Dijon",""),IF('Roulement V2'!O40="CC","Doublon · Beaune",""),IF('Roulement V2'!P40="CC","Doublon · Dijon",""))</f>
      </c>
      <c r="I10" t="str" s="2" cm="1">
        <f t="array" ref="I10">_xlfn.TEXTJOIN(" + ",TRUE,IF('Roulement V2'!Q39="CC","Garde · Beaune",""),IF('Roulement V2'!R39="CC","Garde · Dijon",""),IF('Roulement V2'!Q40="CC","Doublon · Beaune",""),IF('Roulement V2'!R40="CC","Doublon · Dijon",""))</f>
      </c>
    </row>
    <row r="11" ht="13.5" customHeight="1">
      <c r="A11" t="s" s="35">
        <v>43</v>
      </c>
      <c r="B11" t="str" s="2" cm="1">
        <f t="array" ref="B11">_xlfn.TEXTJOIN(" + ",TRUE,IF('Roulement V2'!C41="CC","Garde · Beaune",""),IF('Roulement V2'!D41="CC","Garde · Dijon",""),IF('Roulement V2'!C42="CC","Doublon · Beaune",""),IF('Roulement V2'!D42="CC","Doublon · Dijon",""))</f>
      </c>
      <c r="C11" t="str" s="2" cm="1">
        <f t="array" ref="C11">_xlfn.TEXTJOIN(" + ",TRUE,IF('Roulement V2'!E41="CC","Garde · Beaune",""),IF('Roulement V2'!F41="CC","Garde · Dijon",""),IF('Roulement V2'!E42="CC","Doublon · Beaune",""),IF('Roulement V2'!F42="CC","Doublon · Dijon",""))</f>
        <v>Garde · Beaune</v>
      </c>
      <c r="D11" t="str" s="2" cm="1">
        <f t="array" ref="D11">_xlfn.TEXTJOIN(" + ",TRUE,IF('Roulement V2'!G41="CC","Garde · Beaune",""),IF('Roulement V2'!H41="CC","Garde · Dijon",""),IF('Roulement V2'!G42="CC","Doublon · Beaune",""),IF('Roulement V2'!H42="CC","Doublon · Dijon",""))</f>
      </c>
      <c r="E11" t="str" s="2" cm="1">
        <f t="array" ref="E11">_xlfn.TEXTJOIN(" + ",TRUE,IF('Roulement V2'!I41="CC","Garde · Beaune",""),IF('Roulement V2'!J41="CC","Garde · Dijon",""),IF('Roulement V2'!I42="CC","Doublon · Beaune",""),IF('Roulement V2'!J42="CC","Doublon · Dijon",""))</f>
      </c>
      <c r="F11" t="str" s="2" cm="1">
        <f t="array" ref="F11">_xlfn.TEXTJOIN(" + ",TRUE,IF('Roulement V2'!K41="CC","Garde · Beaune",""),IF('Roulement V2'!L41="CC","Garde · Dijon",""),IF('Roulement V2'!K42="CC","Doublon · Beaune",""),IF('Roulement V2'!L42="CC","Doublon · Dijon",""))</f>
      </c>
      <c r="G11" t="str" s="2" cm="1">
        <f t="array" ref="G11">_xlfn.TEXTJOIN(" + ",TRUE,IF('Roulement V2'!M41="CC","Garde · Beaune",""),IF('Roulement V2'!N41="CC","Garde · Dijon",""),IF('Roulement V2'!M42="CC","Doublon · Beaune",""),IF('Roulement V2'!N42="CC","Doublon · Dijon",""))</f>
        <v>Garde · Dijon</v>
      </c>
      <c r="H11" t="str" s="2" cm="1">
        <f t="array" ref="H11">_xlfn.TEXTJOIN(" + ",TRUE,IF('Roulement V2'!O41="CC","Garde · Beaune",""),IF('Roulement V2'!P41="CC","Garde · Dijon",""),IF('Roulement V2'!O42="CC","Doublon · Beaune",""),IF('Roulement V2'!P42="CC","Doublon · Dijon",""))</f>
      </c>
      <c r="I11" t="str" s="2" cm="1">
        <f t="array" ref="I11">_xlfn.TEXTJOIN(" + ",TRUE,IF('Roulement V2'!Q41="CC","Garde · Beaune",""),IF('Roulement V2'!R41="CC","Garde · Dijon",""),IF('Roulement V2'!Q42="CC","Doublon · Beaune",""),IF('Roulement V2'!R42="CC","Doublon · Dijon",""))</f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2" customWidth="1"/>
    <col min="2" max="9" width="18" style="42" customWidth="1"/>
    <col min="10" max="16384" width="6.67188" style="42" customWidth="1"/>
  </cols>
  <sheetData>
    <row r="1" ht="15.25" customHeight="1">
      <c r="A1" t="s" s="26">
        <v>66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V2'!C39="XB","Garde · Beaune",""),IF('Roulement V2'!D39="XB","Garde · Dijon",""),IF('Roulement V2'!C40="XB","Doublon · Beaune",""),IF('Roulement V2'!D40="XB","Doublon · Dijon",""))</f>
      </c>
      <c r="C10" t="str" s="2" cm="1">
        <f t="array" ref="C10">_xlfn.TEXTJOIN(" + ",TRUE,IF('Roulement V2'!E39="XB","Garde · Beaune",""),IF('Roulement V2'!F39="XB","Garde · Dijon",""),IF('Roulement V2'!E40="XB","Doublon · Beaune",""),IF('Roulement V2'!F40="XB","Doublon · Dijon",""))</f>
      </c>
      <c r="D10" t="str" s="2" cm="1">
        <f t="array" ref="D10">_xlfn.TEXTJOIN(" + ",TRUE,IF('Roulement V2'!G39="XB","Garde · Beaune",""),IF('Roulement V2'!H39="XB","Garde · Dijon",""),IF('Roulement V2'!G40="XB","Doublon · Beaune",""),IF('Roulement V2'!H40="XB","Doublon · Dijon",""))</f>
        <v>Garde · Beaune</v>
      </c>
      <c r="E10" t="str" s="2" cm="1">
        <f t="array" ref="E10">_xlfn.TEXTJOIN(" + ",TRUE,IF('Roulement V2'!I39="XB","Garde · Beaune",""),IF('Roulement V2'!J39="XB","Garde · Dijon",""),IF('Roulement V2'!I40="XB","Doublon · Beaune",""),IF('Roulement V2'!J40="XB","Doublon · Dijon",""))</f>
      </c>
      <c r="F10" t="str" s="2" cm="1">
        <f t="array" ref="F10">_xlfn.TEXTJOIN(" + ",TRUE,IF('Roulement V2'!K39="XB","Garde · Beaune",""),IF('Roulement V2'!L39="XB","Garde · Dijon",""),IF('Roulement V2'!K40="XB","Doublon · Beaune",""),IF('Roulement V2'!L40="XB","Doublon · Dijon",""))</f>
      </c>
      <c r="G10" t="str" s="2" cm="1">
        <f t="array" ref="G10">_xlfn.TEXTJOIN(" + ",TRUE,IF('Roulement V2'!M39="XB","Garde · Beaune",""),IF('Roulement V2'!N39="XB","Garde · Dijon",""),IF('Roulement V2'!M40="XB","Doublon · Beaune",""),IF('Roulement V2'!N40="XB","Doublon · Dijon",""))</f>
      </c>
      <c r="H10" t="str" s="2" cm="1">
        <f t="array" ref="H10">_xlfn.TEXTJOIN(" + ",TRUE,IF('Roulement V2'!O39="XB","Garde · Beaune",""),IF('Roulement V2'!P39="XB","Garde · Dijon",""),IF('Roulement V2'!O40="XB","Doublon · Beaune",""),IF('Roulement V2'!P40="XB","Doublon · Dijon",""))</f>
        <v>Garde · Dijon</v>
      </c>
      <c r="I10" t="str" s="2" cm="1">
        <f t="array" ref="I10">_xlfn.TEXTJOIN(" + ",TRUE,IF('Roulement V2'!Q39="XB","Garde · Beaune",""),IF('Roulement V2'!R39="XB","Garde · Dijon",""),IF('Roulement V2'!Q40="XB","Doublon · Beaune",""),IF('Roulement V2'!R40="XB","Doublon · Dijon",""))</f>
      </c>
    </row>
    <row r="11" ht="13.5" customHeight="1">
      <c r="A11" t="s" s="35">
        <v>43</v>
      </c>
      <c r="B11" t="str" s="2" cm="1">
        <f t="array" ref="B11">_xlfn.TEXTJOIN(" + ",TRUE,IF('Roulement V2'!C41="XB","Garde · Beaune",""),IF('Roulement V2'!D41="XB","Garde · Dijon",""),IF('Roulement V2'!C42="XB","Doublon · Beaune",""),IF('Roulement V2'!D42="XB","Doublon · Dijon",""))</f>
      </c>
      <c r="C11" t="str" s="2" cm="1">
        <f t="array" ref="C11">_xlfn.TEXTJOIN(" + ",TRUE,IF('Roulement V2'!E41="XB","Garde · Beaune",""),IF('Roulement V2'!F41="XB","Garde · Dijon",""),IF('Roulement V2'!E42="XB","Doublon · Beaune",""),IF('Roulement V2'!F42="XB","Doublon · Dijon",""))</f>
      </c>
      <c r="D11" t="str" s="2" cm="1">
        <f t="array" ref="D11">_xlfn.TEXTJOIN(" + ",TRUE,IF('Roulement V2'!G41="XB","Garde · Beaune",""),IF('Roulement V2'!H41="XB","Garde · Dijon",""),IF('Roulement V2'!G42="XB","Doublon · Beaune",""),IF('Roulement V2'!H42="XB","Doublon · Dijon",""))</f>
        <v>Garde · Beaune</v>
      </c>
      <c r="E11" t="str" s="2" cm="1">
        <f t="array" ref="E11">_xlfn.TEXTJOIN(" + ",TRUE,IF('Roulement V2'!I41="XB","Garde · Beaune",""),IF('Roulement V2'!J41="XB","Garde · Dijon",""),IF('Roulement V2'!I42="XB","Doublon · Beaune",""),IF('Roulement V2'!J42="XB","Doublon · Dijon",""))</f>
      </c>
      <c r="F11" t="str" s="2" cm="1">
        <f t="array" ref="F11">_xlfn.TEXTJOIN(" + ",TRUE,IF('Roulement V2'!K41="XB","Garde · Beaune",""),IF('Roulement V2'!L41="XB","Garde · Dijon",""),IF('Roulement V2'!K42="XB","Doublon · Beaune",""),IF('Roulement V2'!L42="XB","Doublon · Dijon",""))</f>
      </c>
      <c r="G11" t="str" s="2" cm="1">
        <f t="array" ref="G11">_xlfn.TEXTJOIN(" + ",TRUE,IF('Roulement V2'!M41="XB","Garde · Beaune",""),IF('Roulement V2'!N41="XB","Garde · Dijon",""),IF('Roulement V2'!M42="XB","Doublon · Beaune",""),IF('Roulement V2'!N42="XB","Doublon · Dijon",""))</f>
      </c>
      <c r="H11" t="str" s="2" cm="1">
        <f t="array" ref="H11">_xlfn.TEXTJOIN(" + ",TRUE,IF('Roulement V2'!O41="XB","Garde · Beaune",""),IF('Roulement V2'!P41="XB","Garde · Dijon",""),IF('Roulement V2'!O42="XB","Doublon · Beaune",""),IF('Roulement V2'!P42="XB","Doublon · Dijon",""))</f>
        <v>Garde · Dijon</v>
      </c>
      <c r="I11" t="str" s="2" cm="1">
        <f t="array" ref="I11">_xlfn.TEXTJOIN(" + ",TRUE,IF('Roulement V2'!Q41="XB","Garde · Beaune",""),IF('Roulement V2'!R41="XB","Garde · Dijon",""),IF('Roulement V2'!Q42="XB","Doublon · Beaune",""),IF('Roulement V2'!R42="XB","Doublon · Dijon",""))</f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3" customWidth="1"/>
    <col min="2" max="8" width="18" style="43" customWidth="1"/>
    <col min="9" max="9" width="21.6719" style="43" customWidth="1"/>
    <col min="10" max="16384" width="6.67188" style="43" customWidth="1"/>
  </cols>
  <sheetData>
    <row r="1" ht="15.25" customHeight="1">
      <c r="A1" t="s" s="26">
        <v>67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V2'!C39="TE","Garde · Beaune",""),IF('Roulement V2'!D39="TE","Garde · Dijon",""),IF('Roulement V2'!C40="TE","Doublon · Beaune",""),IF('Roulement V2'!D40="TE","Doublon · Dijon",""))</f>
      </c>
      <c r="C10" t="str" s="2" cm="1">
        <f t="array" ref="C10">_xlfn.TEXTJOIN(" + ",TRUE,IF('Roulement V2'!E39="TE","Garde · Beaune",""),IF('Roulement V2'!F39="TE","Garde · Dijon",""),IF('Roulement V2'!E40="TE","Doublon · Beaune",""),IF('Roulement V2'!F40="TE","Doublon · Dijon",""))</f>
      </c>
      <c r="D10" t="str" s="2" cm="1">
        <f t="array" ref="D10">_xlfn.TEXTJOIN(" + ",TRUE,IF('Roulement V2'!G39="TE","Garde · Beaune",""),IF('Roulement V2'!H39="TE","Garde · Dijon",""),IF('Roulement V2'!G40="TE","Doublon · Beaune",""),IF('Roulement V2'!H40="TE","Doublon · Dijon",""))</f>
        <v>Garde · Dijon</v>
      </c>
      <c r="E10" t="str" s="2" cm="1">
        <f t="array" ref="E10">_xlfn.TEXTJOIN(" + ",TRUE,IF('Roulement V2'!I39="TE","Garde · Beaune",""),IF('Roulement V2'!J39="TE","Garde · Dijon",""),IF('Roulement V2'!I40="TE","Doublon · Beaune",""),IF('Roulement V2'!J40="TE","Doublon · Dijon",""))</f>
      </c>
      <c r="F10" t="str" s="2" cm="1">
        <f t="array" ref="F10">_xlfn.TEXTJOIN(" + ",TRUE,IF('Roulement V2'!K39="TE","Garde · Beaune",""),IF('Roulement V2'!L39="TE","Garde · Dijon",""),IF('Roulement V2'!K40="TE","Doublon · Beaune",""),IF('Roulement V2'!L40="TE","Doublon · Dijon",""))</f>
      </c>
      <c r="G10" t="str" s="2" cm="1">
        <f t="array" ref="G10">_xlfn.TEXTJOIN(" + ",TRUE,IF('Roulement V2'!M39="TE","Garde · Beaune",""),IF('Roulement V2'!N39="TE","Garde · Dijon",""),IF('Roulement V2'!M40="TE","Doublon · Beaune",""),IF('Roulement V2'!N40="TE","Doublon · Dijon",""))</f>
      </c>
      <c r="H10" t="str" s="2" cm="1">
        <f t="array" ref="H10">_xlfn.TEXTJOIN(" + ",TRUE,IF('Roulement V2'!O39="TE","Garde · Beaune",""),IF('Roulement V2'!P39="TE","Garde · Dijon",""),IF('Roulement V2'!O40="TE","Doublon · Beaune",""),IF('Roulement V2'!P40="TE","Doublon · Dijon",""))</f>
        <v>Garde · Beaune</v>
      </c>
      <c r="I10" t="str" s="2" cm="1">
        <f t="array" ref="I10">_xlfn.TEXTJOIN(" + ",TRUE,IF('Roulement V2'!Q39="TE","Garde · Beaune",""),IF('Roulement V2'!R39="TE","Garde · Dijon",""),IF('Roulement V2'!Q40="TE","Doublon · Beaune",""),IF('Roulement V2'!R40="TE","Doublon · Dijon",""))</f>
      </c>
    </row>
    <row r="11" ht="13.5" customHeight="1">
      <c r="A11" t="s" s="35">
        <v>43</v>
      </c>
      <c r="B11" t="str" s="2" cm="1">
        <f t="array" ref="B11">_xlfn.TEXTJOIN(" + ",TRUE,IF('Roulement V2'!C41="TE","Garde · Beaune",""),IF('Roulement V2'!D41="TE","Garde · Dijon",""),IF('Roulement V2'!C42="TE","Doublon · Beaune",""),IF('Roulement V2'!D42="TE","Doublon · Dijon",""))</f>
      </c>
      <c r="C11" t="str" s="2" cm="1">
        <f t="array" ref="C11">_xlfn.TEXTJOIN(" + ",TRUE,IF('Roulement V2'!E41="TE","Garde · Beaune",""),IF('Roulement V2'!F41="TE","Garde · Dijon",""),IF('Roulement V2'!E42="TE","Doublon · Beaune",""),IF('Roulement V2'!F42="TE","Doublon · Dijon",""))</f>
      </c>
      <c r="D11" t="str" s="2" cm="1">
        <f t="array" ref="D11">_xlfn.TEXTJOIN(" + ",TRUE,IF('Roulement V2'!G41="TE","Garde · Beaune",""),IF('Roulement V2'!H41="TE","Garde · Dijon",""),IF('Roulement V2'!G42="TE","Doublon · Beaune",""),IF('Roulement V2'!H42="TE","Doublon · Dijon",""))</f>
        <v>Garde · Dijon</v>
      </c>
      <c r="E11" t="str" s="2" cm="1">
        <f t="array" ref="E11">_xlfn.TEXTJOIN(" + ",TRUE,IF('Roulement V2'!I41="TE","Garde · Beaune",""),IF('Roulement V2'!J41="TE","Garde · Dijon",""),IF('Roulement V2'!I42="TE","Doublon · Beaune",""),IF('Roulement V2'!J42="TE","Doublon · Dijon",""))</f>
      </c>
      <c r="F11" t="str" s="2" cm="1">
        <f t="array" ref="F11">_xlfn.TEXTJOIN(" + ",TRUE,IF('Roulement V2'!K41="TE","Garde · Beaune",""),IF('Roulement V2'!L41="TE","Garde · Dijon",""),IF('Roulement V2'!K42="TE","Doublon · Beaune",""),IF('Roulement V2'!L42="TE","Doublon · Dijon",""))</f>
      </c>
      <c r="G11" t="str" s="2" cm="1">
        <f t="array" ref="G11">_xlfn.TEXTJOIN(" + ",TRUE,IF('Roulement V2'!M41="TE","Garde · Beaune",""),IF('Roulement V2'!N41="TE","Garde · Dijon",""),IF('Roulement V2'!M42="TE","Doublon · Beaune",""),IF('Roulement V2'!N42="TE","Doublon · Dijon",""))</f>
      </c>
      <c r="H11" t="str" s="2" cm="1">
        <f t="array" ref="H11">_xlfn.TEXTJOIN(" + ",TRUE,IF('Roulement V2'!O41="TE","Garde · Beaune",""),IF('Roulement V2'!P41="TE","Garde · Dijon",""),IF('Roulement V2'!O42="TE","Doublon · Beaune",""),IF('Roulement V2'!P42="TE","Doublon · Dijon",""))</f>
        <v>Garde · Beaune</v>
      </c>
      <c r="I11" t="str" s="2" cm="1">
        <f t="array" ref="I11">_xlfn.TEXTJOIN(" + ",TRUE,IF('Roulement V2'!Q41="TE","Garde · Beaune",""),IF('Roulement V2'!R41="TE","Garde · Dijon",""),IF('Roulement V2'!Q42="TE","Doublon · Beaune",""),IF('Roulement V2'!R42="TE","Doublon · Dijon",""))</f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4" customWidth="1"/>
    <col min="2" max="8" width="18" style="44" customWidth="1"/>
    <col min="9" max="9" width="20.1719" style="44" customWidth="1"/>
    <col min="10" max="16384" width="6.67188" style="44" customWidth="1"/>
  </cols>
  <sheetData>
    <row r="1" ht="15.25" customHeight="1">
      <c r="A1" t="s" s="26">
        <v>68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V2'!C39="AS","Garde · Beaune",""),IF('Roulement V2'!D39="AS","Garde · Dijon",""),IF('Roulement V2'!C40="AS","Doublon · Beaune",""),IF('Roulement V2'!D40="AS","Doublon · Dijon",""))</f>
        <v>Garde · Dijon</v>
      </c>
      <c r="C10" t="str" s="2" cm="1">
        <f t="array" ref="C10">_xlfn.TEXTJOIN(" + ",TRUE,IF('Roulement V2'!E39="AS","Garde · Beaune",""),IF('Roulement V2'!F39="AS","Garde · Dijon",""),IF('Roulement V2'!E40="AS","Doublon · Beaune",""),IF('Roulement V2'!F40="AS","Doublon · Dijon",""))</f>
      </c>
      <c r="D10" t="str" s="2" cm="1">
        <f t="array" ref="D10">_xlfn.TEXTJOIN(" + ",TRUE,IF('Roulement V2'!G39="AS","Garde · Beaune",""),IF('Roulement V2'!H39="AS","Garde · Dijon",""),IF('Roulement V2'!G40="AS","Doublon · Beaune",""),IF('Roulement V2'!H40="AS","Doublon · Dijon",""))</f>
      </c>
      <c r="E10" t="str" s="2" cm="1">
        <f t="array" ref="E10">_xlfn.TEXTJOIN(" + ",TRUE,IF('Roulement V2'!I39="AS","Garde · Beaune",""),IF('Roulement V2'!J39="AS","Garde · Dijon",""),IF('Roulement V2'!I40="AS","Doublon · Beaune",""),IF('Roulement V2'!J40="AS","Doublon · Dijon",""))</f>
      </c>
      <c r="F10" t="str" s="2" cm="1">
        <f t="array" ref="F10">_xlfn.TEXTJOIN(" + ",TRUE,IF('Roulement V2'!K39="AS","Garde · Beaune",""),IF('Roulement V2'!L39="AS","Garde · Dijon",""),IF('Roulement V2'!K40="AS","Doublon · Beaune",""),IF('Roulement V2'!L40="AS","Doublon · Dijon",""))</f>
        <v>Garde · Beaune</v>
      </c>
      <c r="G10" t="str" s="2" cm="1">
        <f t="array" ref="G10">_xlfn.TEXTJOIN(" + ",TRUE,IF('Roulement V2'!M39="AS","Garde · Beaune",""),IF('Roulement V2'!N39="AS","Garde · Dijon",""),IF('Roulement V2'!M40="AS","Doublon · Beaune",""),IF('Roulement V2'!N40="AS","Doublon · Dijon",""))</f>
      </c>
      <c r="H10" t="str" s="2" cm="1">
        <f t="array" ref="H10">_xlfn.TEXTJOIN(" + ",TRUE,IF('Roulement V2'!O39="AS","Garde · Beaune",""),IF('Roulement V2'!P39="AS","Garde · Dijon",""),IF('Roulement V2'!O40="AS","Doublon · Beaune",""),IF('Roulement V2'!P40="AS","Doublon · Dijon",""))</f>
      </c>
      <c r="I10" t="str" s="2" cm="1">
        <f t="array" ref="I10">_xlfn.TEXTJOIN(" + ",TRUE,IF('Roulement V2'!Q39="AS","Garde · Beaune",""),IF('Roulement V2'!R39="AS","Garde · Dijon",""),IF('Roulement V2'!Q40="AS","Doublon · Beaune",""),IF('Roulement V2'!R40="AS","Doublon · Dijon",""))</f>
      </c>
    </row>
    <row r="11" ht="13.5" customHeight="1">
      <c r="A11" t="s" s="35">
        <v>43</v>
      </c>
      <c r="B11" t="str" s="2" cm="1">
        <f t="array" ref="B11">_xlfn.TEXTJOIN(" + ",TRUE,IF('Roulement V2'!C41="AS","Garde · Beaune",""),IF('Roulement V2'!D41="AS","Garde · Dijon",""),IF('Roulement V2'!C42="AS","Doublon · Beaune",""),IF('Roulement V2'!D42="AS","Doublon · Dijon",""))</f>
        <v>Garde · Dijon</v>
      </c>
      <c r="C11" t="str" s="2" cm="1">
        <f t="array" ref="C11">_xlfn.TEXTJOIN(" + ",TRUE,IF('Roulement V2'!E41="AS","Garde · Beaune",""),IF('Roulement V2'!F41="AS","Garde · Dijon",""),IF('Roulement V2'!E42="AS","Doublon · Beaune",""),IF('Roulement V2'!F42="AS","Doublon · Dijon",""))</f>
      </c>
      <c r="D11" t="str" s="2" cm="1">
        <f t="array" ref="D11">_xlfn.TEXTJOIN(" + ",TRUE,IF('Roulement V2'!G41="AS","Garde · Beaune",""),IF('Roulement V2'!H41="AS","Garde · Dijon",""),IF('Roulement V2'!G42="AS","Doublon · Beaune",""),IF('Roulement V2'!H42="AS","Doublon · Dijon",""))</f>
      </c>
      <c r="E11" t="str" s="2" cm="1">
        <f t="array" ref="E11">_xlfn.TEXTJOIN(" + ",TRUE,IF('Roulement V2'!I41="AS","Garde · Beaune",""),IF('Roulement V2'!J41="AS","Garde · Dijon",""),IF('Roulement V2'!I42="AS","Doublon · Beaune",""),IF('Roulement V2'!J42="AS","Doublon · Dijon",""))</f>
      </c>
      <c r="F11" t="str" s="2" cm="1">
        <f t="array" ref="F11">_xlfn.TEXTJOIN(" + ",TRUE,IF('Roulement V2'!K41="AS","Garde · Beaune",""),IF('Roulement V2'!L41="AS","Garde · Dijon",""),IF('Roulement V2'!K42="AS","Doublon · Beaune",""),IF('Roulement V2'!L42="AS","Doublon · Dijon",""))</f>
        <v>Garde · Beaune</v>
      </c>
      <c r="G11" t="str" s="2" cm="1">
        <f t="array" ref="G11">_xlfn.TEXTJOIN(" + ",TRUE,IF('Roulement V2'!M41="AS","Garde · Beaune",""),IF('Roulement V2'!N41="AS","Garde · Dijon",""),IF('Roulement V2'!M42="AS","Doublon · Beaune",""),IF('Roulement V2'!N42="AS","Doublon · Dijon",""))</f>
      </c>
      <c r="H11" t="str" s="2" cm="1">
        <f t="array" ref="H11">_xlfn.TEXTJOIN(" + ",TRUE,IF('Roulement V2'!O41="AS","Garde · Beaune",""),IF('Roulement V2'!P41="AS","Garde · Dijon",""),IF('Roulement V2'!O42="AS","Doublon · Beaune",""),IF('Roulement V2'!P42="AS","Doublon · Dijon",""))</f>
      </c>
      <c r="I11" t="str" s="2" cm="1">
        <f t="array" ref="I11">_xlfn.TEXTJOIN(" + ",TRUE,IF('Roulement V2'!Q41="AS","Garde · Beaune",""),IF('Roulement V2'!R41="AS","Garde · Dijon",""),IF('Roulement V2'!Q42="AS","Doublon · Beaune",""),IF('Roulement V2'!R42="AS","Doublon · Dijon",""))</f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5" customWidth="1"/>
    <col min="2" max="8" width="18" style="45" customWidth="1"/>
    <col min="9" max="9" width="21.1719" style="45" customWidth="1"/>
    <col min="10" max="16384" width="6.67188" style="45" customWidth="1"/>
  </cols>
  <sheetData>
    <row r="1" ht="15.25" customHeight="1">
      <c r="A1" t="s" s="26">
        <v>69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V2'!C39="CB","Garde · Beaune",""),IF('Roulement V2'!D39="CB","Garde · Dijon",""),IF('Roulement V2'!C40="CB","Doublon · Beaune",""),IF('Roulement V2'!D40="CB","Doublon · Dijon",""))</f>
        <v>Garde · Beaune</v>
      </c>
      <c r="C10" t="str" s="2" cm="1">
        <f t="array" ref="C10">_xlfn.TEXTJOIN(" + ",TRUE,IF('Roulement V2'!E39="CB","Garde · Beaune",""),IF('Roulement V2'!F39="CB","Garde · Dijon",""),IF('Roulement V2'!E40="CB","Doublon · Beaune",""),IF('Roulement V2'!F40="CB","Doublon · Dijon",""))</f>
      </c>
      <c r="D10" t="str" s="2" cm="1">
        <f t="array" ref="D10">_xlfn.TEXTJOIN(" + ",TRUE,IF('Roulement V2'!G39="CB","Garde · Beaune",""),IF('Roulement V2'!H39="CB","Garde · Dijon",""),IF('Roulement V2'!G40="CB","Doublon · Beaune",""),IF('Roulement V2'!H40="CB","Doublon · Dijon",""))</f>
      </c>
      <c r="E10" t="str" s="2" cm="1">
        <f t="array" ref="E10">_xlfn.TEXTJOIN(" + ",TRUE,IF('Roulement V2'!I39="CB","Garde · Beaune",""),IF('Roulement V2'!J39="CB","Garde · Dijon",""),IF('Roulement V2'!I40="CB","Doublon · Beaune",""),IF('Roulement V2'!J40="CB","Doublon · Dijon",""))</f>
      </c>
      <c r="F10" t="str" s="2" cm="1">
        <f t="array" ref="F10">_xlfn.TEXTJOIN(" + ",TRUE,IF('Roulement V2'!K39="CB","Garde · Beaune",""),IF('Roulement V2'!L39="CB","Garde · Dijon",""),IF('Roulement V2'!K40="CB","Doublon · Beaune",""),IF('Roulement V2'!L40="CB","Doublon · Dijon",""))</f>
        <v>Garde · Dijon</v>
      </c>
      <c r="G10" t="str" s="2" cm="1">
        <f t="array" ref="G10">_xlfn.TEXTJOIN(" + ",TRUE,IF('Roulement V2'!M39="CB","Garde · Beaune",""),IF('Roulement V2'!N39="CB","Garde · Dijon",""),IF('Roulement V2'!M40="CB","Doublon · Beaune",""),IF('Roulement V2'!N40="CB","Doublon · Dijon",""))</f>
      </c>
      <c r="H10" t="str" s="2" cm="1">
        <f t="array" ref="H10">_xlfn.TEXTJOIN(" + ",TRUE,IF('Roulement V2'!O39="CB","Garde · Beaune",""),IF('Roulement V2'!P39="CB","Garde · Dijon",""),IF('Roulement V2'!O40="CB","Doublon · Beaune",""),IF('Roulement V2'!P40="CB","Doublon · Dijon",""))</f>
      </c>
      <c r="I10" t="str" s="2" cm="1">
        <f t="array" ref="I10">_xlfn.TEXTJOIN(" + ",TRUE,IF('Roulement V2'!Q39="CB","Garde · Beaune",""),IF('Roulement V2'!R39="CB","Garde · Dijon",""),IF('Roulement V2'!Q40="CB","Doublon · Beaune",""),IF('Roulement V2'!R40="CB","Doublon · Dijon",""))</f>
      </c>
    </row>
    <row r="11" ht="13.5" customHeight="1">
      <c r="A11" t="s" s="35">
        <v>43</v>
      </c>
      <c r="B11" t="str" s="2" cm="1">
        <f t="array" ref="B11">_xlfn.TEXTJOIN(" + ",TRUE,IF('Roulement V2'!C41="CB","Garde · Beaune",""),IF('Roulement V2'!D41="CB","Garde · Dijon",""),IF('Roulement V2'!C42="CB","Doublon · Beaune",""),IF('Roulement V2'!D42="CB","Doublon · Dijon",""))</f>
        <v>Garde · Beaune</v>
      </c>
      <c r="C11" t="str" s="2" cm="1">
        <f t="array" ref="C11">_xlfn.TEXTJOIN(" + ",TRUE,IF('Roulement V2'!E41="CB","Garde · Beaune",""),IF('Roulement V2'!F41="CB","Garde · Dijon",""),IF('Roulement V2'!E42="CB","Doublon · Beaune",""),IF('Roulement V2'!F42="CB","Doublon · Dijon",""))</f>
      </c>
      <c r="D11" t="str" s="2" cm="1">
        <f t="array" ref="D11">_xlfn.TEXTJOIN(" + ",TRUE,IF('Roulement V2'!G41="CB","Garde · Beaune",""),IF('Roulement V2'!H41="CB","Garde · Dijon",""),IF('Roulement V2'!G42="CB","Doublon · Beaune",""),IF('Roulement V2'!H42="CB","Doublon · Dijon",""))</f>
      </c>
      <c r="E11" t="str" s="2" cm="1">
        <f t="array" ref="E11">_xlfn.TEXTJOIN(" + ",TRUE,IF('Roulement V2'!I41="CB","Garde · Beaune",""),IF('Roulement V2'!J41="CB","Garde · Dijon",""),IF('Roulement V2'!I42="CB","Doublon · Beaune",""),IF('Roulement V2'!J42="CB","Doublon · Dijon",""))</f>
      </c>
      <c r="F11" t="str" s="2" cm="1">
        <f t="array" ref="F11">_xlfn.TEXTJOIN(" + ",TRUE,IF('Roulement V2'!K41="CB","Garde · Beaune",""),IF('Roulement V2'!L41="CB","Garde · Dijon",""),IF('Roulement V2'!K42="CB","Doublon · Beaune",""),IF('Roulement V2'!L42="CB","Doublon · Dijon",""))</f>
        <v>Garde · Dijon</v>
      </c>
      <c r="G11" t="str" s="2" cm="1">
        <f t="array" ref="G11">_xlfn.TEXTJOIN(" + ",TRUE,IF('Roulement V2'!M41="CB","Garde · Beaune",""),IF('Roulement V2'!N41="CB","Garde · Dijon",""),IF('Roulement V2'!M42="CB","Doublon · Beaune",""),IF('Roulement V2'!N42="CB","Doublon · Dijon",""))</f>
      </c>
      <c r="H11" t="str" s="2" cm="1">
        <f t="array" ref="H11">_xlfn.TEXTJOIN(" + ",TRUE,IF('Roulement V2'!O41="CB","Garde · Beaune",""),IF('Roulement V2'!P41="CB","Garde · Dijon",""),IF('Roulement V2'!O42="CB","Doublon · Beaune",""),IF('Roulement V2'!P42="CB","Doublon · Dijon",""))</f>
      </c>
      <c r="I11" t="str" s="2" cm="1">
        <f t="array" ref="I11">_xlfn.TEXTJOIN(" + ",TRUE,IF('Roulement V2'!Q41="CB","Garde · Beaune",""),IF('Roulement V2'!R41="CB","Garde · Dijon",""),IF('Roulement V2'!Q42="CB","Doublon · Beaune",""),IF('Roulement V2'!R42="CB","Doublon · Dijon",""))</f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6" customWidth="1"/>
    <col min="2" max="9" width="18" style="46" customWidth="1"/>
    <col min="10" max="16384" width="6.67188" style="46" customWidth="1"/>
  </cols>
  <sheetData>
    <row r="1" ht="15.25" customHeight="1">
      <c r="A1" t="s" s="26">
        <v>70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V2'!C39="IEG","Garde · Beaune",""),IF('Roulement V2'!D39="IEG","Garde · Dijon",""),IF('Roulement V2'!C40="IEG","Doublon · Beaune",""),IF('Roulement V2'!D40="IEG","Doublon · Dijon",""))</f>
      </c>
      <c r="C10" t="str" s="2" cm="1">
        <f t="array" ref="C10">_xlfn.TEXTJOIN(" + ",TRUE,IF('Roulement V2'!E39="IEG","Garde · Beaune",""),IF('Roulement V2'!F39="IEG","Garde · Dijon",""),IF('Roulement V2'!E40="IEG","Doublon · Beaune",""),IF('Roulement V2'!F40="IEG","Doublon · Dijon",""))</f>
      </c>
      <c r="D10" t="str" s="2" cm="1">
        <f t="array" ref="D10">_xlfn.TEXTJOIN(" + ",TRUE,IF('Roulement V2'!G39="IEG","Garde · Beaune",""),IF('Roulement V2'!H39="IEG","Garde · Dijon",""),IF('Roulement V2'!G40="IEG","Doublon · Beaune",""),IF('Roulement V2'!H40="IEG","Doublon · Dijon",""))</f>
      </c>
      <c r="E10" t="str" s="2" cm="1">
        <f t="array" ref="E10">_xlfn.TEXTJOIN(" + ",TRUE,IF('Roulement V2'!I39="IEG","Garde · Beaune",""),IF('Roulement V2'!J39="IEG","Garde · Dijon",""),IF('Roulement V2'!I40="IEG","Doublon · Beaune",""),IF('Roulement V2'!J40="IEG","Doublon · Dijon",""))</f>
        <v>Garde · Beaune</v>
      </c>
      <c r="F10" t="str" s="2" cm="1">
        <f t="array" ref="F10">_xlfn.TEXTJOIN(" + ",TRUE,IF('Roulement V2'!K39="IEG","Garde · Beaune",""),IF('Roulement V2'!L39="IEG","Garde · Dijon",""),IF('Roulement V2'!K40="IEG","Doublon · Beaune",""),IF('Roulement V2'!L40="IEG","Doublon · Dijon",""))</f>
        <v>Doublon · Beaune</v>
      </c>
      <c r="G10" t="str" s="2" cm="1">
        <f t="array" ref="G10">_xlfn.TEXTJOIN(" + ",TRUE,IF('Roulement V2'!M39="IEG","Garde · Beaune",""),IF('Roulement V2'!N39="IEG","Garde · Dijon",""),IF('Roulement V2'!M40="IEG","Doublon · Beaune",""),IF('Roulement V2'!N40="IEG","Doublon · Dijon",""))</f>
      </c>
      <c r="H10" t="str" s="2" cm="1">
        <f t="array" ref="H10">_xlfn.TEXTJOIN(" + ",TRUE,IF('Roulement V2'!O39="IEG","Garde · Beaune",""),IF('Roulement V2'!P39="IEG","Garde · Dijon",""),IF('Roulement V2'!O40="IEG","Doublon · Beaune",""),IF('Roulement V2'!P40="IEG","Doublon · Dijon",""))</f>
      </c>
      <c r="I10" t="str" s="2" cm="1">
        <f t="array" ref="I10">_xlfn.TEXTJOIN(" + ",TRUE,IF('Roulement V2'!Q39="IEG","Garde · Beaune",""),IF('Roulement V2'!R39="IEG","Garde · Dijon",""),IF('Roulement V2'!Q40="IEG","Doublon · Beaune",""),IF('Roulement V2'!R40="IEG","Doublon · Dijon",""))</f>
        <v>Doublon · Beaune</v>
      </c>
    </row>
    <row r="11" ht="13.5" customHeight="1">
      <c r="A11" t="s" s="35">
        <v>43</v>
      </c>
      <c r="B11" t="str" s="2" cm="1">
        <f t="array" ref="B11">_xlfn.TEXTJOIN(" + ",TRUE,IF('Roulement V2'!C41="IEG","Garde · Beaune",""),IF('Roulement V2'!D41="IEG","Garde · Dijon",""),IF('Roulement V2'!C42="IEG","Doublon · Beaune",""),IF('Roulement V2'!D42="IEG","Doublon · Dijon",""))</f>
      </c>
      <c r="C11" t="str" s="2" cm="1">
        <f t="array" ref="C11">_xlfn.TEXTJOIN(" + ",TRUE,IF('Roulement V2'!E41="IEG","Garde · Beaune",""),IF('Roulement V2'!F41="IEG","Garde · Dijon",""),IF('Roulement V2'!E42="IEG","Doublon · Beaune",""),IF('Roulement V2'!F42="IEG","Doublon · Dijon",""))</f>
      </c>
      <c r="D11" t="str" s="2" cm="1">
        <f t="array" ref="D11">_xlfn.TEXTJOIN(" + ",TRUE,IF('Roulement V2'!G41="IEG","Garde · Beaune",""),IF('Roulement V2'!H41="IEG","Garde · Dijon",""),IF('Roulement V2'!G42="IEG","Doublon · Beaune",""),IF('Roulement V2'!H42="IEG","Doublon · Dijon",""))</f>
      </c>
      <c r="E11" t="str" s="2" cm="1">
        <f t="array" ref="E11">_xlfn.TEXTJOIN(" + ",TRUE,IF('Roulement V2'!I41="IEG","Garde · Beaune",""),IF('Roulement V2'!J41="IEG","Garde · Dijon",""),IF('Roulement V2'!I42="IEG","Doublon · Beaune",""),IF('Roulement V2'!J42="IEG","Doublon · Dijon",""))</f>
        <v>Garde · Beaune</v>
      </c>
      <c r="F11" t="str" s="2" cm="1">
        <f t="array" ref="F11">_xlfn.TEXTJOIN(" + ",TRUE,IF('Roulement V2'!K41="IEG","Garde · Beaune",""),IF('Roulement V2'!L41="IEG","Garde · Dijon",""),IF('Roulement V2'!K42="IEG","Doublon · Beaune",""),IF('Roulement V2'!L42="IEG","Doublon · Dijon",""))</f>
      </c>
      <c r="G11" t="str" s="2" cm="1">
        <f t="array" ref="G11">_xlfn.TEXTJOIN(" + ",TRUE,IF('Roulement V2'!M41="IEG","Garde · Beaune",""),IF('Roulement V2'!N41="IEG","Garde · Dijon",""),IF('Roulement V2'!M42="IEG","Doublon · Beaune",""),IF('Roulement V2'!N42="IEG","Doublon · Dijon",""))</f>
      </c>
      <c r="H11" t="str" s="2" cm="1">
        <f t="array" ref="H11">_xlfn.TEXTJOIN(" + ",TRUE,IF('Roulement V2'!O41="IEG","Garde · Beaune",""),IF('Roulement V2'!P41="IEG","Garde · Dijon",""),IF('Roulement V2'!O42="IEG","Doublon · Beaune",""),IF('Roulement V2'!P42="IEG","Doublon · Dijon",""))</f>
      </c>
      <c r="I11" t="str" s="2" cm="1">
        <f t="array" ref="I11">_xlfn.TEXTJOIN(" + ",TRUE,IF('Roulement V2'!Q41="IEG","Garde · Beaune",""),IF('Roulement V2'!R41="IEG","Garde · Dijon",""),IF('Roulement V2'!Q42="IEG","Doublon · Beaune",""),IF('Roulement V2'!R42="IEG","Doublon · Dijon",""))</f>
        <v>Doublon · Beaune</v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2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3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45.6719" style="47" customWidth="1"/>
    <col min="2" max="9" width="18" style="47" customWidth="1"/>
    <col min="10" max="16384" width="6.67188" style="47" customWidth="1"/>
  </cols>
  <sheetData>
    <row r="1" ht="15.25" customHeight="1">
      <c r="A1" t="s" s="26">
        <v>72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V2'!C39="LD","Garde · Beaune",""),IF('Roulement V2'!D39="LD","Garde · Dijon",""),IF('Roulement V2'!C40="LD","Doublon · Beaune",""),IF('Roulement V2'!D40="LD","Doublon · Dijon",""))</f>
      </c>
      <c r="C10" t="str" s="2" cm="1">
        <f t="array" ref="C10">_xlfn.TEXTJOIN(" + ",TRUE,IF('Roulement V2'!E39="LD","Garde · Beaune",""),IF('Roulement V2'!F39="LD","Garde · Dijon",""),IF('Roulement V2'!E40="LD","Doublon · Beaune",""),IF('Roulement V2'!F40="LD","Doublon · Dijon",""))</f>
        <v>Doublon · Beaune</v>
      </c>
      <c r="D10" t="str" s="2" cm="1">
        <f t="array" ref="D10">_xlfn.TEXTJOIN(" + ",TRUE,IF('Roulement V2'!G39="LD","Garde · Beaune",""),IF('Roulement V2'!H39="LD","Garde · Dijon",""),IF('Roulement V2'!G40="LD","Doublon · Beaune",""),IF('Roulement V2'!H40="LD","Doublon · Dijon",""))</f>
      </c>
      <c r="E10" t="str" s="2" cm="1">
        <f t="array" ref="E10">_xlfn.TEXTJOIN(" + ",TRUE,IF('Roulement V2'!I39="LD","Garde · Beaune",""),IF('Roulement V2'!J39="LD","Garde · Dijon",""),IF('Roulement V2'!I40="LD","Doublon · Beaune",""),IF('Roulement V2'!J40="LD","Doublon · Dijon",""))</f>
      </c>
      <c r="F10" t="str" s="2" cm="1">
        <f t="array" ref="F10">_xlfn.TEXTJOIN(" + ",TRUE,IF('Roulement V2'!K39="LD","Garde · Beaune",""),IF('Roulement V2'!L39="LD","Garde · Dijon",""),IF('Roulement V2'!K40="LD","Doublon · Beaune",""),IF('Roulement V2'!L40="LD","Doublon · Dijon",""))</f>
      </c>
      <c r="G10" t="str" s="2" cm="1">
        <f t="array" ref="G10">_xlfn.TEXTJOIN(" + ",TRUE,IF('Roulement V2'!M39="LD","Garde · Beaune",""),IF('Roulement V2'!N39="LD","Garde · Dijon",""),IF('Roulement V2'!M40="LD","Doublon · Beaune",""),IF('Roulement V2'!N40="LD","Doublon · Dijon",""))</f>
        <v>Doublon · Dijon</v>
      </c>
      <c r="H10" t="str" s="2" cm="1">
        <f t="array" ref="H10">_xlfn.TEXTJOIN(" + ",TRUE,IF('Roulement V2'!O39="LD","Garde · Beaune",""),IF('Roulement V2'!P39="LD","Garde · Dijon",""),IF('Roulement V2'!O40="LD","Doublon · Beaune",""),IF('Roulement V2'!P40="LD","Doublon · Dijon",""))</f>
      </c>
      <c r="I10" t="str" s="2" cm="1">
        <f t="array" ref="I10">_xlfn.TEXTJOIN(" + ",TRUE,IF('Roulement V2'!Q39="LD","Garde · Beaune",""),IF('Roulement V2'!R39="LD","Garde · Dijon",""),IF('Roulement V2'!Q40="LD","Doublon · Beaune",""),IF('Roulement V2'!R40="LD","Doublon · Dijon",""))</f>
      </c>
    </row>
    <row r="11" ht="13.5" customHeight="1">
      <c r="A11" t="s" s="35">
        <v>43</v>
      </c>
      <c r="B11" t="str" s="2" cm="1">
        <f t="array" ref="B11">_xlfn.TEXTJOIN(" + ",TRUE,IF('Roulement V2'!C41="LD","Garde · Beaune",""),IF('Roulement V2'!D41="LD","Garde · Dijon",""),IF('Roulement V2'!C42="LD","Doublon · Beaune",""),IF('Roulement V2'!D42="LD","Doublon · Dijon",""))</f>
      </c>
      <c r="C11" t="str" s="2" cm="1">
        <f t="array" ref="C11">_xlfn.TEXTJOIN(" + ",TRUE,IF('Roulement V2'!E41="LD","Garde · Beaune",""),IF('Roulement V2'!F41="LD","Garde · Dijon",""),IF('Roulement V2'!E42="LD","Doublon · Beaune",""),IF('Roulement V2'!F42="LD","Doublon · Dijon",""))</f>
        <v>Doublon · Beaune</v>
      </c>
      <c r="D11" t="str" s="2" cm="1">
        <f t="array" ref="D11">_xlfn.TEXTJOIN(" + ",TRUE,IF('Roulement V2'!G41="LD","Garde · Beaune",""),IF('Roulement V2'!H41="LD","Garde · Dijon",""),IF('Roulement V2'!G42="LD","Doublon · Beaune",""),IF('Roulement V2'!H42="LD","Doublon · Dijon",""))</f>
      </c>
      <c r="E11" t="str" s="2" cm="1">
        <f t="array" ref="E11">_xlfn.TEXTJOIN(" + ",TRUE,IF('Roulement V2'!I41="LD","Garde · Beaune",""),IF('Roulement V2'!J41="LD","Garde · Dijon",""),IF('Roulement V2'!I42="LD","Doublon · Beaune",""),IF('Roulement V2'!J42="LD","Doublon · Dijon",""))</f>
      </c>
      <c r="F11" t="str" s="2" cm="1">
        <f t="array" ref="F11">_xlfn.TEXTJOIN(" + ",TRUE,IF('Roulement V2'!K41="LD","Garde · Beaune",""),IF('Roulement V2'!L41="LD","Garde · Dijon",""),IF('Roulement V2'!K42="LD","Doublon · Beaune",""),IF('Roulement V2'!L42="LD","Doublon · Dijon",""))</f>
      </c>
      <c r="G11" t="str" s="2" cm="1">
        <f t="array" ref="G11">_xlfn.TEXTJOIN(" + ",TRUE,IF('Roulement V2'!M41="LD","Garde · Beaune",""),IF('Roulement V2'!N41="LD","Garde · Dijon",""),IF('Roulement V2'!M42="LD","Doublon · Beaune",""),IF('Roulement V2'!N42="LD","Doublon · Dijon",""))</f>
        <v>Doublon · Dijon</v>
      </c>
      <c r="H11" t="str" s="2" cm="1">
        <f t="array" ref="H11">_xlfn.TEXTJOIN(" + ",TRUE,IF('Roulement V2'!O41="LD","Garde · Beaune",""),IF('Roulement V2'!P41="LD","Garde · Dijon",""),IF('Roulement V2'!O42="LD","Doublon · Beaune",""),IF('Roulement V2'!P42="LD","Doublon · Dijon",""))</f>
      </c>
      <c r="I11" t="str" s="2" cm="1">
        <f t="array" ref="I11">_xlfn.TEXTJOIN(" + ",TRUE,IF('Roulement V2'!Q41="LD","Garde · Beaune",""),IF('Roulement V2'!R41="LD","Garde · Dijon",""),IF('Roulement V2'!Q42="LD","Doublon · Beaune",""),IF('Roulement V2'!R42="LD","Doublon · Dijon",""))</f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0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4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8" customWidth="1"/>
    <col min="2" max="9" width="18" style="48" customWidth="1"/>
    <col min="10" max="16384" width="6.67188" style="48" customWidth="1"/>
  </cols>
  <sheetData>
    <row r="1" ht="15.25" customHeight="1">
      <c r="A1" t="s" s="26">
        <v>74</v>
      </c>
      <c r="B1" s="2"/>
      <c r="C1" s="2"/>
      <c r="D1" s="2"/>
      <c r="E1" s="2"/>
      <c r="F1" s="2"/>
      <c r="G1" s="2"/>
      <c r="H1" s="2"/>
      <c r="I1" s="2"/>
    </row>
    <row r="2" ht="13.5" customHeight="1">
      <c r="A2" t="s" s="30">
        <v>45</v>
      </c>
      <c r="B2" s="2"/>
      <c r="C2" s="2"/>
      <c r="D2" s="2"/>
      <c r="E2" s="2"/>
      <c r="F2" s="2"/>
      <c r="G2" s="2"/>
      <c r="H2" s="2"/>
      <c r="I2" s="2"/>
    </row>
    <row r="3" ht="13.5" customHeight="1">
      <c r="A3" s="2"/>
      <c r="B3" s="2"/>
      <c r="C3" s="2"/>
      <c r="D3" s="2"/>
      <c r="E3" s="2"/>
      <c r="F3" s="2"/>
      <c r="G3" s="2"/>
      <c r="H3" s="2"/>
      <c r="I3" s="2"/>
    </row>
    <row r="4" ht="13.5" customHeight="1">
      <c r="A4" t="s" s="34">
        <v>1</v>
      </c>
      <c r="B4" t="s" s="34">
        <v>46</v>
      </c>
      <c r="C4" t="s" s="34">
        <v>47</v>
      </c>
      <c r="D4" t="s" s="34">
        <v>48</v>
      </c>
      <c r="E4" t="s" s="34">
        <v>49</v>
      </c>
      <c r="F4" t="s" s="34">
        <v>50</v>
      </c>
      <c r="G4" t="s" s="34">
        <v>51</v>
      </c>
      <c r="H4" t="s" s="34">
        <v>52</v>
      </c>
      <c r="I4" t="s" s="34">
        <v>53</v>
      </c>
    </row>
    <row r="5" ht="13.5" customHeight="1">
      <c r="A5" t="s" s="35">
        <v>19</v>
      </c>
      <c r="B5" s="2"/>
      <c r="C5" s="2"/>
      <c r="D5" s="2"/>
      <c r="E5" s="2"/>
      <c r="F5" s="2"/>
      <c r="G5" s="2"/>
      <c r="H5" s="2"/>
      <c r="I5" s="2"/>
    </row>
    <row r="6" ht="13.5" customHeight="1">
      <c r="A6" t="s" s="35">
        <v>36</v>
      </c>
      <c r="B6" s="2"/>
      <c r="C6" s="2"/>
      <c r="D6" s="36"/>
      <c r="E6" s="2"/>
      <c r="F6" s="36"/>
      <c r="G6" s="2"/>
      <c r="H6" s="2"/>
      <c r="I6" s="2"/>
    </row>
    <row r="7" ht="13.5" customHeight="1">
      <c r="A7" t="s" s="35">
        <v>37</v>
      </c>
      <c r="B7" s="2"/>
      <c r="C7" s="2"/>
      <c r="D7" s="2"/>
      <c r="E7" s="2"/>
      <c r="F7" s="2"/>
      <c r="G7" s="2"/>
      <c r="H7" s="2"/>
      <c r="I7" s="2"/>
    </row>
    <row r="8" ht="13.5" customHeight="1">
      <c r="A8" t="s" s="35">
        <v>38</v>
      </c>
      <c r="B8" s="2"/>
      <c r="C8" s="2"/>
      <c r="D8" s="2"/>
      <c r="E8" s="2"/>
      <c r="F8" s="2"/>
      <c r="G8" s="2"/>
      <c r="H8" s="2"/>
      <c r="I8" s="2"/>
    </row>
    <row r="9" ht="13.5" customHeight="1">
      <c r="A9" t="s" s="35">
        <v>39</v>
      </c>
      <c r="B9" s="2"/>
      <c r="C9" s="2"/>
      <c r="D9" s="2"/>
      <c r="E9" s="2"/>
      <c r="F9" s="2"/>
      <c r="G9" s="2"/>
      <c r="H9" s="2"/>
      <c r="I9" s="2"/>
    </row>
    <row r="10" ht="13.5" customHeight="1">
      <c r="A10" t="s" s="35">
        <v>40</v>
      </c>
      <c r="B10" t="str" s="2" cm="1">
        <f t="array" ref="B10">_xlfn.TEXTJOIN(" + ",TRUE,IF('Roulement V2'!C39="MY","Garde · Beaune",""),IF('Roulement V2'!D39="MY","Garde · Dijon",""),IF('Roulement V2'!C40="MY","Doublon · Beaune",""),IF('Roulement V2'!D40="MY","Doublon · Dijon",""))</f>
      </c>
      <c r="C10" t="str" s="2" cm="1">
        <f t="array" ref="C10">_xlfn.TEXTJOIN(" + ",TRUE,IF('Roulement V2'!E39="MY","Garde · Beaune",""),IF('Roulement V2'!F39="MY","Garde · Dijon",""),IF('Roulement V2'!E40="MY","Doublon · Beaune",""),IF('Roulement V2'!F40="MY","Doublon · Dijon",""))</f>
      </c>
      <c r="D10" t="str" s="2" cm="1">
        <f t="array" ref="D10">_xlfn.TEXTJOIN(" + ",TRUE,IF('Roulement V2'!G39="MY","Garde · Beaune",""),IF('Roulement V2'!H39="MY","Garde · Dijon",""),IF('Roulement V2'!G40="MY","Doublon · Beaune",""),IF('Roulement V2'!H40="MY","Doublon · Dijon",""))</f>
      </c>
      <c r="E10" t="str" s="2" cm="1">
        <f t="array" ref="E10">_xlfn.TEXTJOIN(" + ",TRUE,IF('Roulement V2'!I39="MY","Garde · Beaune",""),IF('Roulement V2'!J39="MY","Garde · Dijon",""),IF('Roulement V2'!I40="MY","Doublon · Beaune",""),IF('Roulement V2'!J40="MY","Doublon · Dijon",""))</f>
        <v>Garde · Dijon</v>
      </c>
      <c r="F10" t="str" s="2" cm="1">
        <f t="array" ref="F10">_xlfn.TEXTJOIN(" + ",TRUE,IF('Roulement V2'!K39="MY","Garde · Beaune",""),IF('Roulement V2'!L39="MY","Garde · Dijon",""),IF('Roulement V2'!K40="MY","Doublon · Beaune",""),IF('Roulement V2'!L40="MY","Doublon · Dijon",""))</f>
      </c>
      <c r="G10" t="str" s="2" cm="1">
        <f t="array" ref="G10">_xlfn.TEXTJOIN(" + ",TRUE,IF('Roulement V2'!M39="MY","Garde · Beaune",""),IF('Roulement V2'!N39="MY","Garde · Dijon",""),IF('Roulement V2'!M40="MY","Doublon · Beaune",""),IF('Roulement V2'!N40="MY","Doublon · Dijon",""))</f>
      </c>
      <c r="H10" t="str" s="2" cm="1">
        <f t="array" ref="H10">_xlfn.TEXTJOIN(" + ",TRUE,IF('Roulement V2'!O39="MY","Garde · Beaune",""),IF('Roulement V2'!P39="MY","Garde · Dijon",""),IF('Roulement V2'!O40="MY","Doublon · Beaune",""),IF('Roulement V2'!P40="MY","Doublon · Dijon",""))</f>
      </c>
      <c r="I10" t="str" s="2" cm="1">
        <f t="array" ref="I10">_xlfn.TEXTJOIN(" + ",TRUE,IF('Roulement V2'!Q39="MY","Garde · Beaune",""),IF('Roulement V2'!R39="MY","Garde · Dijon",""),IF('Roulement V2'!Q40="MY","Doublon · Beaune",""),IF('Roulement V2'!R40="MY","Doublon · Dijon",""))</f>
        <v>Garde · Beaune</v>
      </c>
    </row>
    <row r="11" ht="13.5" customHeight="1">
      <c r="A11" t="s" s="35">
        <v>43</v>
      </c>
      <c r="B11" t="str" s="2" cm="1">
        <f t="array" ref="B11">_xlfn.TEXTJOIN(" + ",TRUE,IF('Roulement V2'!C41="MY","Garde · Beaune",""),IF('Roulement V2'!D41="MY","Garde · Dijon",""),IF('Roulement V2'!C42="MY","Doublon · Beaune",""),IF('Roulement V2'!D42="MY","Doublon · Dijon",""))</f>
      </c>
      <c r="C11" t="str" s="2" cm="1">
        <f t="array" ref="C11">_xlfn.TEXTJOIN(" + ",TRUE,IF('Roulement V2'!E41="MY","Garde · Beaune",""),IF('Roulement V2'!F41="MY","Garde · Dijon",""),IF('Roulement V2'!E42="MY","Doublon · Beaune",""),IF('Roulement V2'!F42="MY","Doublon · Dijon",""))</f>
      </c>
      <c r="D11" t="str" s="2" cm="1">
        <f t="array" ref="D11">_xlfn.TEXTJOIN(" + ",TRUE,IF('Roulement V2'!G41="MY","Garde · Beaune",""),IF('Roulement V2'!H41="MY","Garde · Dijon",""),IF('Roulement V2'!G42="MY","Doublon · Beaune",""),IF('Roulement V2'!H42="MY","Doublon · Dijon",""))</f>
      </c>
      <c r="E11" t="str" s="2" cm="1">
        <f t="array" ref="E11">_xlfn.TEXTJOIN(" + ",TRUE,IF('Roulement V2'!I41="MY","Garde · Beaune",""),IF('Roulement V2'!J41="MY","Garde · Dijon",""),IF('Roulement V2'!I42="MY","Doublon · Beaune",""),IF('Roulement V2'!J42="MY","Doublon · Dijon",""))</f>
        <v>Garde · Dijon</v>
      </c>
      <c r="F11" t="str" s="2" cm="1">
        <f t="array" ref="F11">_xlfn.TEXTJOIN(" + ",TRUE,IF('Roulement V2'!K41="MY","Garde · Beaune",""),IF('Roulement V2'!L41="MY","Garde · Dijon",""),IF('Roulement V2'!K42="MY","Doublon · Beaune",""),IF('Roulement V2'!L42="MY","Doublon · Dijon",""))</f>
      </c>
      <c r="G11" t="str" s="2" cm="1">
        <f t="array" ref="G11">_xlfn.TEXTJOIN(" + ",TRUE,IF('Roulement V2'!M41="MY","Garde · Beaune",""),IF('Roulement V2'!N41="MY","Garde · Dijon",""),IF('Roulement V2'!M42="MY","Doublon · Beaune",""),IF('Roulement V2'!N42="MY","Doublon · Dijon",""))</f>
      </c>
      <c r="H11" t="str" s="2" cm="1">
        <f t="array" ref="H11">_xlfn.TEXTJOIN(" + ",TRUE,IF('Roulement V2'!O41="MY","Garde · Beaune",""),IF('Roulement V2'!P41="MY","Garde · Dijon",""),IF('Roulement V2'!O42="MY","Doublon · Beaune",""),IF('Roulement V2'!P42="MY","Doublon · Dijon",""))</f>
      </c>
      <c r="I11" t="str" s="2" cm="1">
        <f t="array" ref="I11">_xlfn.TEXTJOIN(" + ",TRUE,IF('Roulement V2'!Q41="MY","Garde · Beaune",""),IF('Roulement V2'!R41="MY","Garde · Dijon",""),IF('Roulement V2'!Q42="MY","Doublon · Beaune",""),IF('Roulement V2'!R42="MY","Doublon · Dijon",""))</f>
        <v>Garde · Beaune</v>
      </c>
    </row>
    <row r="12" ht="13.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" customHeight="1">
      <c r="A14" t="s" s="34">
        <v>56</v>
      </c>
      <c r="B14" s="2"/>
      <c r="C14" s="2"/>
      <c r="D14" s="2"/>
      <c r="E14" s="2"/>
      <c r="F14" s="2"/>
      <c r="G14" s="2"/>
      <c r="H14" s="2"/>
      <c r="I14" s="2"/>
    </row>
    <row r="15" ht="13.5" customHeight="1">
      <c r="A15" t="s" s="35">
        <v>57</v>
      </c>
      <c r="B15" s="37" cm="1">
        <f t="array" ref="B15">COUNTIF(B5:I9,"*J1 · 8h-16h*")</f>
        <v>0</v>
      </c>
      <c r="C15" s="2"/>
      <c r="D15" t="s" s="35">
        <v>58</v>
      </c>
      <c r="E15" s="37" cm="1">
        <f t="array" ref="E15">COUNTIF(B5:I9,"*Beaune*")</f>
        <v>0</v>
      </c>
      <c r="F15" s="2"/>
      <c r="G15" s="2"/>
      <c r="H15" s="2"/>
      <c r="I15" s="2"/>
    </row>
    <row r="16" ht="13.5" customHeight="1">
      <c r="A16" t="s" s="35">
        <v>59</v>
      </c>
      <c r="B16" s="37" cm="1">
        <f t="array" ref="B16">COUNTIF(B5:I9,"*J2 · 14h-22h*")</f>
        <v>0</v>
      </c>
      <c r="C16" s="2"/>
      <c r="D16" t="s" s="35">
        <v>60</v>
      </c>
      <c r="E16" s="37" cm="1">
        <f t="array" ref="E16">COUNTIF(B5:I9,"*Dijon*")</f>
        <v>0</v>
      </c>
      <c r="F16" s="2"/>
      <c r="G16" s="2"/>
      <c r="H16" s="2"/>
      <c r="I16" s="2"/>
    </row>
    <row r="17" ht="13.5" customHeight="1">
      <c r="A17" t="s" s="35">
        <v>61</v>
      </c>
      <c r="B17" s="37" cm="1">
        <f t="array" ref="B17">COUNTIF(B5:I9,"*journée · 8h-18h30*")</f>
        <v>0</v>
      </c>
      <c r="C17" s="2"/>
      <c r="D17" s="2"/>
      <c r="E17" s="2"/>
      <c r="F17" s="2"/>
      <c r="G17" s="2"/>
      <c r="H17" s="2"/>
      <c r="I17" s="2"/>
    </row>
    <row r="18" ht="13.5" customHeight="1">
      <c r="A18" t="s" s="35">
        <v>62</v>
      </c>
      <c r="B18" s="37" cm="1">
        <f t="array" ref="B18">COUNTIF(B5:I9,"?*")</f>
        <v>0</v>
      </c>
      <c r="C18" s="2"/>
      <c r="D18" t="s" s="35">
        <v>63</v>
      </c>
      <c r="E18" s="37" cm="1">
        <f t="array" ref="E18">COUNTIF(B10:I11,"*Garde*")</f>
        <v>4</v>
      </c>
      <c r="F18" s="2"/>
      <c r="G18" s="2"/>
      <c r="H18" s="2"/>
      <c r="I18" s="2"/>
    </row>
    <row r="19" ht="13.5" customHeight="1">
      <c r="A19" s="2"/>
      <c r="B19" s="2"/>
      <c r="C19" s="2"/>
      <c r="D19" t="s" s="35">
        <v>64</v>
      </c>
      <c r="E19" s="37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