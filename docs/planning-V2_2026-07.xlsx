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Roulement V2" sheetId="1" r:id="rId5"/>
    <sheet name="Matthieu Cadennes" sheetId="2" r:id="rId6"/>
    <sheet name="Caroline Chauvet" sheetId="3" r:id="rId7"/>
    <sheet name="Xavier Baudrillart" sheetId="4" r:id="rId8"/>
    <sheet name="Thomas Etienne" sheetId="5" r:id="rId9"/>
    <sheet name="Airelle Sauvage" sheetId="6" r:id="rId10"/>
    <sheet name="Christophe Bertrand" sheetId="7" r:id="rId11"/>
    <sheet name="Imane El Gari" sheetId="8" r:id="rId12"/>
    <sheet name="Laurène Daudin" sheetId="9" r:id="rId13"/>
    <sheet name="Mireille Yuan" sheetId="10" r:id="rId14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<sst xmlns="http://schemas.openxmlformats.org/spreadsheetml/2006/main" uniqueCount="81">
  <si>
    <t>ROULEMENT MÉDECINS ASSOCIÉS — V2 optimisée (juillet 2026)</t>
  </si>
  <si>
    <t>Jour</t>
  </si>
  <si>
    <t>Créneau</t>
  </si>
  <si>
    <t>S1 Beaune</t>
  </si>
  <si>
    <t>S1 Dijon</t>
  </si>
  <si>
    <t>S2 Beaune</t>
  </si>
  <si>
    <t>S2 Dijon</t>
  </si>
  <si>
    <t>S3 Beaune</t>
  </si>
  <si>
    <t>S3 Dijon</t>
  </si>
  <si>
    <t>S4 Beaune</t>
  </si>
  <si>
    <t>S4 Dijon</t>
  </si>
  <si>
    <t>S5 Beaune</t>
  </si>
  <si>
    <t>S5 Dijon</t>
  </si>
  <si>
    <t>S6 Beaune</t>
  </si>
  <si>
    <t>S6 Dijon</t>
  </si>
  <si>
    <t>S7 Beaune</t>
  </si>
  <si>
    <t>S7 Dijon</t>
  </si>
  <si>
    <t>S8 Beaune</t>
  </si>
  <si>
    <t>S8 Dijon</t>
  </si>
  <si>
    <t>Lundi</t>
  </si>
  <si>
    <t>J1</t>
  </si>
  <si>
    <t>CB</t>
  </si>
  <si>
    <t>TE</t>
  </si>
  <si>
    <t>XB</t>
  </si>
  <si>
    <t>CC</t>
  </si>
  <si>
    <t>J2</t>
  </si>
  <si>
    <t>IEG</t>
  </si>
  <si>
    <t>MY</t>
  </si>
  <si>
    <t>MC</t>
  </si>
  <si>
    <t>AS</t>
  </si>
  <si>
    <t>J3</t>
  </si>
  <si>
    <t>J4</t>
  </si>
  <si>
    <t>J5</t>
  </si>
  <si>
    <t>J6</t>
  </si>
  <si>
    <t>J7</t>
  </si>
  <si>
    <t>LD</t>
  </si>
  <si>
    <t>J8</t>
  </si>
  <si>
    <t>Mardi</t>
  </si>
  <si>
    <t>Mercredi</t>
  </si>
  <si>
    <t>Jeudi</t>
  </si>
  <si>
    <t>vendredi</t>
  </si>
  <si>
    <t>Samedi</t>
  </si>
  <si>
    <t>Garde</t>
  </si>
  <si>
    <t>Doublon</t>
  </si>
  <si>
    <t>Dimanche</t>
  </si>
  <si>
    <t>Planning V2 — Matthieu Cadennes (MC)</t>
  </si>
  <si>
    <t>Roulement sur 8 semaines · lié à la feuille "Roulement V2" (mise à jour automatique)</t>
  </si>
  <si>
    <t>S1</t>
  </si>
  <si>
    <t>S2</t>
  </si>
  <si>
    <t>S3</t>
  </si>
  <si>
    <t>S4</t>
  </si>
  <si>
    <t>S5</t>
  </si>
  <si>
    <t>S6</t>
  </si>
  <si>
    <t>S7</t>
  </si>
  <si>
    <t>S8</t>
  </si>
  <si>
    <t>journée · 8h-18h30 · Dijon</t>
  </si>
  <si>
    <t>journée · 8h-18h30 · Beaune</t>
  </si>
  <si>
    <t>J2 · 14h-22h · Dijon</t>
  </si>
  <si>
    <t>J2 · 14h-22h · Beaune</t>
  </si>
  <si>
    <t>J1 · 8h-16h · Beaune</t>
  </si>
  <si>
    <t>Garde · Dijon</t>
  </si>
  <si>
    <t>Garde · Beaune</t>
  </si>
  <si>
    <t>Récapitulatif — sur 8 semaines (mise à jour automatique)</t>
  </si>
  <si>
    <t>J1 · 8h-16h</t>
  </si>
  <si>
    <t>Beaune</t>
  </si>
  <si>
    <t>J2 · 14h-22h</t>
  </si>
  <si>
    <t>Dijon</t>
  </si>
  <si>
    <t>Journée · 8h-18h30</t>
  </si>
  <si>
    <t>Total semaine</t>
  </si>
  <si>
    <t>Gardes WE</t>
  </si>
  <si>
    <t>Doublons WE</t>
  </si>
  <si>
    <t>Planning V2 — Caroline Chauvet (CC)</t>
  </si>
  <si>
    <t>Planning V2 — Xavier Baudrillart (XB)</t>
  </si>
  <si>
    <t>Planning V2 — Thomas Etienne (TE)</t>
  </si>
  <si>
    <t>Planning V2 — Airelle Sauvage (AS)</t>
  </si>
  <si>
    <t>Planning V2 — Christophe Bertrand (CB)</t>
  </si>
  <si>
    <t>Planning V2 — Imane El Gari (IEG)</t>
  </si>
  <si>
    <t>Doublon · Beaune</t>
  </si>
  <si>
    <t>Planning V2 — Laurène Daudin (LD)</t>
  </si>
  <si>
    <t>Doublon · Dijon</t>
  </si>
  <si>
    <t>Planning V2 — Mireille Yuan (MY)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</si>
</sst>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3"/>
      <color indexed="8"/>
      <name val="Calibri"/>
    </font>
    <font>
      <b val="1"/>
      <sz val="11"/>
      <color indexed="8"/>
      <name val="Calibri"/>
    </font>
    <font>
      <b val="1"/>
      <sz val="12"/>
      <color indexed="8"/>
      <name val="Calibri"/>
    </font>
    <font>
      <i val="1"/>
      <sz val="9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ck">
        <color indexed="8"/>
      </bottom>
      <diagonal/>
    </border>
    <border>
      <left style="thick">
        <color indexed="8"/>
      </left>
      <right style="thin">
        <color indexed="12"/>
      </right>
      <top style="thick">
        <color indexed="8"/>
      </top>
      <bottom style="thick">
        <color indexed="8"/>
      </bottom>
      <diagonal/>
    </border>
    <border>
      <left style="thin">
        <color indexed="12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12"/>
      </right>
      <top style="thick">
        <color indexed="8"/>
      </top>
      <bottom style="thin">
        <color indexed="12"/>
      </bottom>
      <diagonal/>
    </border>
    <border>
      <left style="thin">
        <color indexed="12"/>
      </left>
      <right style="thick">
        <color indexed="8"/>
      </right>
      <top style="thick">
        <color indexed="8"/>
      </top>
      <bottom style="thin">
        <color indexed="12"/>
      </bottom>
      <diagonal/>
    </border>
    <border>
      <left style="thick">
        <color indexed="8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ck">
        <color indexed="8"/>
      </right>
      <top style="thin">
        <color indexed="12"/>
      </top>
      <bottom style="thin">
        <color indexed="12"/>
      </bottom>
      <diagonal/>
    </border>
    <border>
      <left style="thick">
        <color indexed="8"/>
      </left>
      <right style="thin">
        <color indexed="12"/>
      </right>
      <top style="thin">
        <color indexed="12"/>
      </top>
      <bottom style="thick">
        <color indexed="8"/>
      </bottom>
      <diagonal/>
    </border>
    <border>
      <left style="thin">
        <color indexed="12"/>
      </left>
      <right style="thick">
        <color indexed="8"/>
      </right>
      <top style="thin">
        <color indexed="12"/>
      </top>
      <bottom style="thick">
        <color indexed="8"/>
      </bottom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3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49" fontId="4" fillId="3" borderId="3" applyNumberFormat="1" applyFont="1" applyFill="1" applyBorder="1" applyAlignment="1" applyProtection="0">
      <alignment vertical="bottom"/>
    </xf>
    <xf numFmtId="49" fontId="4" fillId="3" borderId="4" applyNumberFormat="1" applyFont="1" applyFill="1" applyBorder="1" applyAlignment="1" applyProtection="0">
      <alignment vertical="bottom"/>
    </xf>
    <xf numFmtId="49" fontId="4" fillId="2" borderId="5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0" fontId="0" fillId="2" borderId="9" applyNumberFormat="0" applyFont="1" applyFill="1" applyBorder="1" applyAlignment="1" applyProtection="0">
      <alignment vertical="bottom"/>
    </xf>
    <xf numFmtId="49" fontId="0" fillId="2" borderId="10" applyNumberFormat="1" applyFont="1" applyFill="1" applyBorder="1" applyAlignment="1" applyProtection="0">
      <alignment vertical="bottom"/>
    </xf>
    <xf numFmtId="0" fontId="0" fillId="2" borderId="10" applyNumberFormat="0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5" fillId="2" borderId="1" applyNumberFormat="1" applyFont="1" applyFill="1" applyBorder="1" applyAlignment="1" applyProtection="0">
      <alignment vertical="bottom"/>
    </xf>
    <xf numFmtId="0" fontId="0" fillId="2" borderId="11" applyNumberFormat="0" applyFont="1" applyFill="1" applyBorder="1" applyAlignment="1" applyProtection="0">
      <alignment vertical="bottom"/>
    </xf>
    <xf numFmtId="0" fontId="0" fillId="2" borderId="12" applyNumberFormat="0" applyFont="1" applyFill="1" applyBorder="1" applyAlignment="1" applyProtection="0">
      <alignment vertical="bottom"/>
    </xf>
    <xf numFmtId="0" fontId="0" fillId="2" borderId="13" applyNumberFormat="0" applyFont="1" applyFill="1" applyBorder="1" applyAlignment="1" applyProtection="0">
      <alignment vertical="bottom"/>
    </xf>
    <xf numFmtId="49" fontId="6" fillId="2" borderId="1" applyNumberFormat="1" applyFont="1" applyFill="1" applyBorder="1" applyAlignment="1" applyProtection="0">
      <alignment vertical="bottom"/>
    </xf>
    <xf numFmtId="0" fontId="0" fillId="2" borderId="14" applyNumberFormat="0" applyFont="1" applyFill="1" applyBorder="1" applyAlignment="1" applyProtection="0">
      <alignment vertical="bottom"/>
    </xf>
    <xf numFmtId="0" fontId="0" fillId="2" borderId="15" applyNumberFormat="0" applyFont="1" applyFill="1" applyBorder="1" applyAlignment="1" applyProtection="0">
      <alignment vertical="bottom"/>
    </xf>
    <xf numFmtId="0" fontId="0" fillId="2" borderId="16" applyNumberFormat="0" applyFont="1" applyFill="1" applyBorder="1" applyAlignment="1" applyProtection="0">
      <alignment vertical="bottom"/>
    </xf>
    <xf numFmtId="49" fontId="4" fillId="2" borderId="1" applyNumberFormat="1" applyFont="1" applyFill="1" applyBorder="1" applyAlignment="1" applyProtection="0">
      <alignment vertical="bottom"/>
    </xf>
    <xf numFmtId="49" fontId="0" fillId="2" borderId="1" applyNumberFormat="1" applyFont="1" applyFill="1" applyBorder="1" applyAlignment="1" applyProtection="0">
      <alignment vertical="bottom"/>
    </xf>
    <xf numFmtId="0" fontId="0" fillId="2" borderId="1" applyNumberFormat="1" applyFont="1" applyFill="1" applyBorder="1" applyAlignment="1" applyProtection="0">
      <alignment vertical="bottom"/>
    </xf>
    <xf numFmtId="0" fontId="0" fillId="2" borderId="17" applyNumberFormat="0" applyFont="1" applyFill="1" applyBorder="1" applyAlignment="1" applyProtection="0">
      <alignment vertical="bottom"/>
    </xf>
    <xf numFmtId="0" fontId="0" fillId="2" borderId="18" applyNumberFormat="0" applyFont="1" applyFill="1" applyBorder="1" applyAlignment="1" applyProtection="0">
      <alignment vertical="bottom"/>
    </xf>
    <xf numFmtId="0" fontId="0" fillId="2" borderId="19" applyNumberFormat="0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d9d9"/>
      <rgbColor rgb="ffb0b0b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R47"/>
  <sheetViews>
    <sheetView workbookViewId="0" showGridLines="0" defaultGridColor="1"/>
  </sheetViews>
  <sheetFormatPr defaultColWidth="6.66667" defaultRowHeight="15" customHeight="1" outlineLevelRow="0" outlineLevelCol="0"/>
  <cols>
    <col min="1" max="1" width="8.35156" style="1" customWidth="1"/>
    <col min="2" max="2" width="6.85156" style="1" customWidth="1"/>
    <col min="3" max="18" width="5.35156" style="1" customWidth="1"/>
    <col min="19" max="16384" width="6.67188" style="1" customWidth="1"/>
  </cols>
  <sheetData>
    <row r="1" ht="16.1" customHeight="1">
      <c r="A1" s="2"/>
      <c r="B1" t="s" s="3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4.5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ht="15.55" customHeight="1">
      <c r="A3" t="s" s="5">
        <v>1</v>
      </c>
      <c r="B3" t="s" s="6">
        <v>2</v>
      </c>
      <c r="C3" t="s" s="5">
        <v>3</v>
      </c>
      <c r="D3" t="s" s="6">
        <v>4</v>
      </c>
      <c r="E3" t="s" s="5">
        <v>5</v>
      </c>
      <c r="F3" t="s" s="6">
        <v>6</v>
      </c>
      <c r="G3" t="s" s="5">
        <v>7</v>
      </c>
      <c r="H3" t="s" s="6">
        <v>8</v>
      </c>
      <c r="I3" t="s" s="5">
        <v>9</v>
      </c>
      <c r="J3" t="s" s="6">
        <v>10</v>
      </c>
      <c r="K3" t="s" s="5">
        <v>11</v>
      </c>
      <c r="L3" t="s" s="6">
        <v>12</v>
      </c>
      <c r="M3" t="s" s="5">
        <v>13</v>
      </c>
      <c r="N3" t="s" s="6">
        <v>14</v>
      </c>
      <c r="O3" t="s" s="5">
        <v>15</v>
      </c>
      <c r="P3" t="s" s="6">
        <v>16</v>
      </c>
      <c r="Q3" t="s" s="5">
        <v>17</v>
      </c>
      <c r="R3" t="s" s="6">
        <v>18</v>
      </c>
    </row>
    <row r="4" ht="14.55" customHeight="1">
      <c r="A4" t="s" s="7">
        <v>19</v>
      </c>
      <c r="B4" t="s" s="8">
        <v>20</v>
      </c>
      <c r="C4" t="s" s="9">
        <v>21</v>
      </c>
      <c r="D4" s="10"/>
      <c r="E4" t="s" s="9">
        <v>22</v>
      </c>
      <c r="F4" s="10"/>
      <c r="G4" t="s" s="9">
        <v>23</v>
      </c>
      <c r="H4" s="10"/>
      <c r="I4" t="s" s="9">
        <v>21</v>
      </c>
      <c r="J4" s="10"/>
      <c r="K4" t="s" s="9">
        <v>21</v>
      </c>
      <c r="L4" s="10"/>
      <c r="M4" s="11"/>
      <c r="N4" s="10"/>
      <c r="O4" t="s" s="9">
        <v>23</v>
      </c>
      <c r="P4" s="10"/>
      <c r="Q4" t="s" s="9">
        <v>24</v>
      </c>
      <c r="R4" s="10"/>
    </row>
    <row r="5" ht="13.55" customHeight="1">
      <c r="A5" s="12"/>
      <c r="B5" t="s" s="13">
        <v>25</v>
      </c>
      <c r="C5" t="s" s="14">
        <v>23</v>
      </c>
      <c r="D5" t="s" s="13">
        <v>22</v>
      </c>
      <c r="E5" t="s" s="14">
        <v>26</v>
      </c>
      <c r="F5" t="s" s="13">
        <v>24</v>
      </c>
      <c r="G5" t="s" s="14">
        <v>26</v>
      </c>
      <c r="H5" s="13"/>
      <c r="I5" t="s" s="14">
        <v>27</v>
      </c>
      <c r="J5" t="s" s="13">
        <v>28</v>
      </c>
      <c r="K5" s="12"/>
      <c r="L5" t="s" s="13">
        <v>23</v>
      </c>
      <c r="M5" t="s" s="14">
        <v>24</v>
      </c>
      <c r="N5" t="s" s="13">
        <v>27</v>
      </c>
      <c r="O5" t="s" s="14">
        <v>21</v>
      </c>
      <c r="P5" t="s" s="13">
        <v>29</v>
      </c>
      <c r="Q5" t="s" s="14">
        <v>26</v>
      </c>
      <c r="R5" t="s" s="13">
        <v>28</v>
      </c>
    </row>
    <row r="6" ht="13.55" customHeight="1">
      <c r="A6" s="12"/>
      <c r="B6" t="s" s="13">
        <v>30</v>
      </c>
      <c r="C6" t="s" s="14">
        <v>29</v>
      </c>
      <c r="D6" t="s" s="13">
        <v>28</v>
      </c>
      <c r="E6" t="s" s="14">
        <v>28</v>
      </c>
      <c r="F6" t="s" s="13">
        <v>27</v>
      </c>
      <c r="G6" t="s" s="14">
        <v>27</v>
      </c>
      <c r="H6" t="s" s="13">
        <v>29</v>
      </c>
      <c r="I6" t="s" s="14">
        <v>26</v>
      </c>
      <c r="J6" t="s" s="13">
        <v>24</v>
      </c>
      <c r="K6" t="s" s="14">
        <v>28</v>
      </c>
      <c r="L6" t="s" s="13">
        <v>22</v>
      </c>
      <c r="M6" t="s" s="14">
        <v>28</v>
      </c>
      <c r="N6" t="s" s="13">
        <v>22</v>
      </c>
      <c r="O6" t="s" s="14">
        <v>22</v>
      </c>
      <c r="P6" s="15"/>
      <c r="Q6" s="12"/>
      <c r="R6" t="s" s="13">
        <v>21</v>
      </c>
    </row>
    <row r="7" ht="13.55" customHeight="1">
      <c r="A7" s="12"/>
      <c r="B7" t="s" s="13">
        <v>31</v>
      </c>
      <c r="C7" s="12"/>
      <c r="D7" t="s" s="13">
        <v>24</v>
      </c>
      <c r="E7" s="12"/>
      <c r="F7" t="s" s="13">
        <v>23</v>
      </c>
      <c r="G7" s="12"/>
      <c r="H7" t="s" s="13">
        <v>21</v>
      </c>
      <c r="I7" s="12"/>
      <c r="J7" t="s" s="13">
        <v>29</v>
      </c>
      <c r="K7" s="12"/>
      <c r="L7" t="s" s="13">
        <v>24</v>
      </c>
      <c r="M7" s="12"/>
      <c r="N7" t="s" s="13">
        <v>23</v>
      </c>
      <c r="O7" s="14"/>
      <c r="P7" t="s" s="13">
        <v>27</v>
      </c>
      <c r="Q7" s="12"/>
      <c r="R7" t="s" s="13">
        <v>29</v>
      </c>
    </row>
    <row r="8" ht="13.55" customHeight="1">
      <c r="A8" s="12"/>
      <c r="B8" t="s" s="13">
        <v>32</v>
      </c>
      <c r="C8" s="12"/>
      <c r="D8" s="15"/>
      <c r="E8" s="12"/>
      <c r="F8" s="15"/>
      <c r="G8" s="12"/>
      <c r="H8" s="15"/>
      <c r="I8" s="12"/>
      <c r="J8" s="15"/>
      <c r="K8" s="12"/>
      <c r="L8" s="15"/>
      <c r="M8" s="12"/>
      <c r="N8" s="15"/>
      <c r="O8" s="12"/>
      <c r="P8" s="15"/>
      <c r="Q8" s="12"/>
      <c r="R8" s="15"/>
    </row>
    <row r="9" ht="13.55" customHeight="1">
      <c r="A9" s="12"/>
      <c r="B9" t="s" s="13">
        <v>33</v>
      </c>
      <c r="C9" s="12"/>
      <c r="D9" s="15"/>
      <c r="E9" s="12"/>
      <c r="F9" s="15"/>
      <c r="G9" s="12"/>
      <c r="H9" s="15"/>
      <c r="I9" s="12"/>
      <c r="J9" s="15"/>
      <c r="K9" s="12"/>
      <c r="L9" s="15"/>
      <c r="M9" s="12"/>
      <c r="N9" s="15"/>
      <c r="O9" s="12"/>
      <c r="P9" s="15"/>
      <c r="Q9" s="12"/>
      <c r="R9" s="15"/>
    </row>
    <row r="10" ht="13.55" customHeight="1">
      <c r="A10" s="12"/>
      <c r="B10" t="s" s="13">
        <v>34</v>
      </c>
      <c r="C10" s="12"/>
      <c r="D10" t="s" s="13">
        <v>35</v>
      </c>
      <c r="E10" s="12"/>
      <c r="F10" t="s" s="13">
        <v>35</v>
      </c>
      <c r="G10" s="12"/>
      <c r="H10" t="s" s="13">
        <v>22</v>
      </c>
      <c r="I10" s="12"/>
      <c r="J10" t="s" s="13">
        <v>35</v>
      </c>
      <c r="K10" s="12"/>
      <c r="L10" t="s" s="13">
        <v>29</v>
      </c>
      <c r="M10" s="12"/>
      <c r="N10" t="s" s="13">
        <v>35</v>
      </c>
      <c r="O10" s="12"/>
      <c r="P10" s="15"/>
      <c r="Q10" s="12"/>
      <c r="R10" t="s" s="13">
        <v>27</v>
      </c>
    </row>
    <row r="11" ht="14.55" customHeight="1">
      <c r="A11" s="16"/>
      <c r="B11" t="s" s="17">
        <v>36</v>
      </c>
      <c r="C11" s="16"/>
      <c r="D11" s="18"/>
      <c r="E11" s="16"/>
      <c r="F11" s="18"/>
      <c r="G11" s="16"/>
      <c r="H11" s="18"/>
      <c r="I11" s="16"/>
      <c r="J11" s="18"/>
      <c r="K11" s="16"/>
      <c r="L11" s="18"/>
      <c r="M11" s="16"/>
      <c r="N11" s="18"/>
      <c r="O11" s="16"/>
      <c r="P11" s="18"/>
      <c r="Q11" s="16"/>
      <c r="R11" t="s" s="17">
        <v>35</v>
      </c>
    </row>
    <row r="12" ht="14.55" customHeight="1">
      <c r="A12" t="s" s="7">
        <v>37</v>
      </c>
      <c r="B12" t="s" s="8">
        <v>20</v>
      </c>
      <c r="C12" s="11"/>
      <c r="D12" s="10"/>
      <c r="E12" t="s" s="9">
        <v>26</v>
      </c>
      <c r="F12" s="10"/>
      <c r="G12" t="s" s="9">
        <v>26</v>
      </c>
      <c r="H12" s="10"/>
      <c r="I12" t="s" s="9">
        <v>26</v>
      </c>
      <c r="J12" s="10"/>
      <c r="K12" s="11"/>
      <c r="L12" s="10"/>
      <c r="M12" t="s" s="9">
        <v>26</v>
      </c>
      <c r="N12" s="10"/>
      <c r="O12" t="s" s="9">
        <v>22</v>
      </c>
      <c r="P12" s="10"/>
      <c r="Q12" t="s" s="9">
        <v>23</v>
      </c>
      <c r="R12" s="10"/>
    </row>
    <row r="13" ht="13.55" customHeight="1">
      <c r="A13" s="12"/>
      <c r="B13" t="s" s="13">
        <v>25</v>
      </c>
      <c r="C13" t="s" s="14">
        <v>35</v>
      </c>
      <c r="D13" s="15"/>
      <c r="E13" t="s" s="14">
        <v>22</v>
      </c>
      <c r="F13" t="s" s="13">
        <v>28</v>
      </c>
      <c r="G13" t="s" s="14">
        <v>27</v>
      </c>
      <c r="H13" t="s" s="13">
        <v>24</v>
      </c>
      <c r="I13" t="s" s="14">
        <v>28</v>
      </c>
      <c r="J13" s="15"/>
      <c r="K13" s="12"/>
      <c r="L13" t="s" s="13">
        <v>29</v>
      </c>
      <c r="M13" t="s" s="14">
        <v>22</v>
      </c>
      <c r="N13" t="s" s="13">
        <v>28</v>
      </c>
      <c r="O13" t="s" s="14">
        <v>24</v>
      </c>
      <c r="P13" t="s" s="13">
        <v>28</v>
      </c>
      <c r="Q13" t="s" s="14">
        <v>28</v>
      </c>
      <c r="R13" t="s" s="13">
        <v>24</v>
      </c>
    </row>
    <row r="14" ht="13.55" customHeight="1">
      <c r="A14" s="12"/>
      <c r="B14" t="s" s="13">
        <v>30</v>
      </c>
      <c r="C14" t="s" s="14">
        <v>26</v>
      </c>
      <c r="D14" t="s" s="13">
        <v>21</v>
      </c>
      <c r="E14" t="s" s="14">
        <v>24</v>
      </c>
      <c r="F14" t="s" s="13">
        <v>21</v>
      </c>
      <c r="G14" t="s" s="14">
        <v>28</v>
      </c>
      <c r="H14" t="s" s="13">
        <v>22</v>
      </c>
      <c r="I14" t="s" s="14">
        <v>24</v>
      </c>
      <c r="J14" t="s" s="13">
        <v>29</v>
      </c>
      <c r="K14" t="s" s="14">
        <v>26</v>
      </c>
      <c r="L14" t="s" s="13">
        <v>21</v>
      </c>
      <c r="M14" t="s" s="14">
        <v>24</v>
      </c>
      <c r="N14" t="s" s="13">
        <v>21</v>
      </c>
      <c r="O14" t="s" s="14">
        <v>29</v>
      </c>
      <c r="P14" t="s" s="13">
        <v>21</v>
      </c>
      <c r="Q14" t="s" s="14">
        <v>27</v>
      </c>
      <c r="R14" t="s" s="13">
        <v>29</v>
      </c>
    </row>
    <row r="15" ht="13.55" customHeight="1">
      <c r="A15" s="12"/>
      <c r="B15" t="s" s="13">
        <v>31</v>
      </c>
      <c r="C15" s="12"/>
      <c r="D15" t="s" s="13">
        <v>27</v>
      </c>
      <c r="E15" s="12"/>
      <c r="F15" t="s" s="13">
        <v>29</v>
      </c>
      <c r="G15" s="12"/>
      <c r="H15" t="s" s="13">
        <v>23</v>
      </c>
      <c r="I15" t="s" s="14">
        <v>27</v>
      </c>
      <c r="J15" t="s" s="13">
        <v>23</v>
      </c>
      <c r="K15" s="12"/>
      <c r="L15" t="s" s="13">
        <v>27</v>
      </c>
      <c r="M15" t="s" s="14">
        <v>27</v>
      </c>
      <c r="N15" t="s" s="13">
        <v>35</v>
      </c>
      <c r="O15" s="12"/>
      <c r="P15" t="s" s="13">
        <v>23</v>
      </c>
      <c r="Q15" s="12"/>
      <c r="R15" t="s" s="13">
        <v>21</v>
      </c>
    </row>
    <row r="16" ht="13.55" customHeight="1">
      <c r="A16" s="12"/>
      <c r="B16" t="s" s="13">
        <v>32</v>
      </c>
      <c r="C16" s="12"/>
      <c r="D16" s="15"/>
      <c r="E16" s="12"/>
      <c r="F16" s="15"/>
      <c r="G16" s="12"/>
      <c r="H16" s="15"/>
      <c r="I16" s="12"/>
      <c r="J16" s="15"/>
      <c r="K16" s="12"/>
      <c r="L16" s="15"/>
      <c r="M16" s="12"/>
      <c r="N16" s="15"/>
      <c r="O16" s="12"/>
      <c r="P16" s="15"/>
      <c r="Q16" s="12"/>
      <c r="R16" s="15"/>
    </row>
    <row r="17" ht="13.55" customHeight="1">
      <c r="A17" s="12"/>
      <c r="B17" t="s" s="13">
        <v>33</v>
      </c>
      <c r="C17" s="12"/>
      <c r="D17" s="15"/>
      <c r="E17" s="12"/>
      <c r="F17" s="15"/>
      <c r="G17" s="12"/>
      <c r="H17" s="15"/>
      <c r="I17" s="12"/>
      <c r="J17" s="15"/>
      <c r="K17" s="12"/>
      <c r="L17" s="15"/>
      <c r="M17" s="12"/>
      <c r="N17" s="15"/>
      <c r="O17" s="12"/>
      <c r="P17" s="15"/>
      <c r="Q17" s="12"/>
      <c r="R17" s="15"/>
    </row>
    <row r="18" ht="13.55" customHeight="1">
      <c r="A18" s="12"/>
      <c r="B18" t="s" s="13">
        <v>34</v>
      </c>
      <c r="C18" s="12"/>
      <c r="D18" t="s" s="13">
        <v>29</v>
      </c>
      <c r="E18" s="12"/>
      <c r="F18" t="s" s="13">
        <v>35</v>
      </c>
      <c r="G18" s="12"/>
      <c r="H18" t="s" s="13">
        <v>35</v>
      </c>
      <c r="I18" s="12"/>
      <c r="J18" t="s" s="13">
        <v>35</v>
      </c>
      <c r="K18" s="12"/>
      <c r="L18" s="15"/>
      <c r="M18" s="12"/>
      <c r="N18" s="15"/>
      <c r="O18" s="12"/>
      <c r="P18" t="s" s="13">
        <v>35</v>
      </c>
      <c r="Q18" s="12"/>
      <c r="R18" t="s" s="13">
        <v>35</v>
      </c>
    </row>
    <row r="19" ht="14.55" customHeight="1">
      <c r="A19" s="16"/>
      <c r="B19" t="s" s="17">
        <v>36</v>
      </c>
      <c r="C19" s="16"/>
      <c r="D19" s="18"/>
      <c r="E19" s="16"/>
      <c r="F19" s="18"/>
      <c r="G19" s="16"/>
      <c r="H19" s="18"/>
      <c r="I19" s="16"/>
      <c r="J19" s="18"/>
      <c r="K19" s="16"/>
      <c r="L19" s="18"/>
      <c r="M19" s="16"/>
      <c r="N19" s="18"/>
      <c r="O19" s="16"/>
      <c r="P19" s="18"/>
      <c r="Q19" s="16"/>
      <c r="R19" s="18"/>
    </row>
    <row r="20" ht="14.55" customHeight="1">
      <c r="A20" t="s" s="7">
        <v>38</v>
      </c>
      <c r="B20" t="s" s="8">
        <v>20</v>
      </c>
      <c r="C20" t="s" s="9">
        <v>28</v>
      </c>
      <c r="D20" s="10"/>
      <c r="E20" t="s" s="9">
        <v>22</v>
      </c>
      <c r="F20" s="10"/>
      <c r="G20" t="s" s="9">
        <v>22</v>
      </c>
      <c r="H20" s="10"/>
      <c r="I20" t="s" s="9">
        <v>28</v>
      </c>
      <c r="J20" s="10"/>
      <c r="K20" t="s" s="9">
        <v>28</v>
      </c>
      <c r="L20" s="10"/>
      <c r="M20" t="s" s="9">
        <v>22</v>
      </c>
      <c r="N20" s="10"/>
      <c r="O20" s="11"/>
      <c r="P20" s="10"/>
      <c r="Q20" t="s" s="9">
        <v>28</v>
      </c>
      <c r="R20" s="10"/>
    </row>
    <row r="21" ht="13.55" customHeight="1">
      <c r="A21" s="12"/>
      <c r="B21" t="s" s="13">
        <v>25</v>
      </c>
      <c r="C21" t="s" s="14">
        <v>22</v>
      </c>
      <c r="D21" t="s" s="13">
        <v>29</v>
      </c>
      <c r="E21" t="s" s="14">
        <v>29</v>
      </c>
      <c r="F21" t="s" s="13">
        <v>21</v>
      </c>
      <c r="G21" t="s" s="14">
        <v>21</v>
      </c>
      <c r="H21" t="s" s="13">
        <v>29</v>
      </c>
      <c r="I21" t="s" s="14">
        <v>23</v>
      </c>
      <c r="J21" s="15"/>
      <c r="K21" t="s" s="14">
        <v>26</v>
      </c>
      <c r="L21" t="s" s="13">
        <v>29</v>
      </c>
      <c r="M21" t="s" s="14">
        <v>26</v>
      </c>
      <c r="N21" t="s" s="13">
        <v>29</v>
      </c>
      <c r="O21" t="s" s="14">
        <v>21</v>
      </c>
      <c r="P21" t="s" s="13">
        <v>24</v>
      </c>
      <c r="Q21" t="s" s="14">
        <v>23</v>
      </c>
      <c r="R21" s="15"/>
    </row>
    <row r="22" ht="13.55" customHeight="1">
      <c r="A22" s="12"/>
      <c r="B22" t="s" s="13">
        <v>30</v>
      </c>
      <c r="C22" t="s" s="14">
        <v>26</v>
      </c>
      <c r="D22" s="15"/>
      <c r="E22" t="s" s="14">
        <v>23</v>
      </c>
      <c r="F22" s="15"/>
      <c r="G22" t="s" s="14">
        <v>24</v>
      </c>
      <c r="H22" s="15"/>
      <c r="I22" t="s" s="14">
        <v>26</v>
      </c>
      <c r="J22" t="s" s="13">
        <v>21</v>
      </c>
      <c r="K22" t="s" s="14">
        <v>22</v>
      </c>
      <c r="L22" s="15"/>
      <c r="M22" t="s" s="14">
        <v>23</v>
      </c>
      <c r="N22" t="s" s="13">
        <v>21</v>
      </c>
      <c r="O22" s="12"/>
      <c r="P22" t="s" s="13">
        <v>22</v>
      </c>
      <c r="Q22" t="s" s="14">
        <v>26</v>
      </c>
      <c r="R22" t="s" s="13">
        <v>29</v>
      </c>
    </row>
    <row r="23" ht="13.55" customHeight="1">
      <c r="A23" s="12"/>
      <c r="B23" t="s" s="13">
        <v>31</v>
      </c>
      <c r="C23" s="12"/>
      <c r="D23" s="15"/>
      <c r="E23" s="12"/>
      <c r="F23" s="15"/>
      <c r="G23" t="s" s="14">
        <v>26</v>
      </c>
      <c r="H23" s="15"/>
      <c r="I23" s="12"/>
      <c r="J23" t="s" s="13">
        <v>29</v>
      </c>
      <c r="K23" s="12"/>
      <c r="L23" s="15"/>
      <c r="M23" s="12"/>
      <c r="N23" s="15"/>
      <c r="O23" s="12"/>
      <c r="P23" t="s" s="13">
        <v>29</v>
      </c>
      <c r="Q23" s="12"/>
      <c r="R23" s="15"/>
    </row>
    <row r="24" ht="13.55" customHeight="1">
      <c r="A24" s="12"/>
      <c r="B24" t="s" s="13">
        <v>32</v>
      </c>
      <c r="C24" s="12"/>
      <c r="D24" s="15"/>
      <c r="E24" s="12"/>
      <c r="F24" s="15"/>
      <c r="G24" s="12"/>
      <c r="H24" s="15"/>
      <c r="I24" s="12"/>
      <c r="J24" s="15"/>
      <c r="K24" s="12"/>
      <c r="L24" s="15"/>
      <c r="M24" s="12"/>
      <c r="N24" s="15"/>
      <c r="O24" s="12"/>
      <c r="P24" s="15"/>
      <c r="Q24" s="12"/>
      <c r="R24" s="15"/>
    </row>
    <row r="25" ht="13.55" customHeight="1">
      <c r="A25" s="12"/>
      <c r="B25" t="s" s="13">
        <v>33</v>
      </c>
      <c r="C25" s="12"/>
      <c r="D25" s="15"/>
      <c r="E25" s="12"/>
      <c r="F25" s="15"/>
      <c r="G25" s="12"/>
      <c r="H25" s="15"/>
      <c r="I25" s="12"/>
      <c r="J25" s="15"/>
      <c r="K25" s="12"/>
      <c r="L25" s="15"/>
      <c r="M25" s="12"/>
      <c r="N25" s="15"/>
      <c r="O25" s="12"/>
      <c r="P25" s="15"/>
      <c r="Q25" s="12"/>
      <c r="R25" s="15"/>
    </row>
    <row r="26" ht="13.55" customHeight="1">
      <c r="A26" s="12"/>
      <c r="B26" t="s" s="13">
        <v>34</v>
      </c>
      <c r="C26" s="12"/>
      <c r="D26" s="15"/>
      <c r="E26" s="12"/>
      <c r="F26" s="15"/>
      <c r="G26" s="12"/>
      <c r="H26" s="15"/>
      <c r="I26" s="12"/>
      <c r="J26" s="15"/>
      <c r="K26" s="12"/>
      <c r="L26" s="15"/>
      <c r="M26" s="12"/>
      <c r="N26" s="15"/>
      <c r="O26" s="12"/>
      <c r="P26" s="15"/>
      <c r="Q26" s="12"/>
      <c r="R26" s="15"/>
    </row>
    <row r="27" ht="14.55" customHeight="1">
      <c r="A27" s="16"/>
      <c r="B27" t="s" s="17">
        <v>36</v>
      </c>
      <c r="C27" s="16"/>
      <c r="D27" s="18"/>
      <c r="E27" s="16"/>
      <c r="F27" s="18"/>
      <c r="G27" s="16"/>
      <c r="H27" s="18"/>
      <c r="I27" s="16"/>
      <c r="J27" s="18"/>
      <c r="K27" s="16"/>
      <c r="L27" s="18"/>
      <c r="M27" s="16"/>
      <c r="N27" s="18"/>
      <c r="O27" s="16"/>
      <c r="P27" s="18"/>
      <c r="Q27" s="16"/>
      <c r="R27" s="18"/>
    </row>
    <row r="28" ht="14.55" customHeight="1">
      <c r="A28" t="s" s="7">
        <v>39</v>
      </c>
      <c r="B28" t="s" s="8">
        <v>20</v>
      </c>
      <c r="C28" t="s" s="9">
        <v>22</v>
      </c>
      <c r="D28" s="10"/>
      <c r="E28" t="s" s="9">
        <v>24</v>
      </c>
      <c r="F28" s="10"/>
      <c r="G28" t="s" s="9">
        <v>24</v>
      </c>
      <c r="H28" s="10"/>
      <c r="I28" t="s" s="9">
        <v>27</v>
      </c>
      <c r="J28" s="10"/>
      <c r="K28" t="s" s="9">
        <v>26</v>
      </c>
      <c r="L28" s="10"/>
      <c r="M28" t="s" s="9">
        <v>26</v>
      </c>
      <c r="N28" s="10"/>
      <c r="O28" t="s" s="9">
        <v>24</v>
      </c>
      <c r="P28" s="10"/>
      <c r="Q28" s="11"/>
      <c r="R28" s="10"/>
    </row>
    <row r="29" ht="13.55" customHeight="1">
      <c r="A29" s="12"/>
      <c r="B29" t="s" s="13">
        <v>25</v>
      </c>
      <c r="C29" t="s" s="14">
        <v>35</v>
      </c>
      <c r="D29" t="s" s="13">
        <v>23</v>
      </c>
      <c r="E29" t="s" s="14">
        <v>21</v>
      </c>
      <c r="F29" t="s" s="13">
        <v>22</v>
      </c>
      <c r="G29" t="s" s="14">
        <v>35</v>
      </c>
      <c r="H29" t="s" s="13">
        <v>23</v>
      </c>
      <c r="I29" t="s" s="14">
        <v>26</v>
      </c>
      <c r="J29" t="s" s="13">
        <v>22</v>
      </c>
      <c r="K29" t="s" s="14">
        <v>23</v>
      </c>
      <c r="L29" t="s" s="13">
        <v>27</v>
      </c>
      <c r="M29" t="s" s="14">
        <v>29</v>
      </c>
      <c r="N29" t="s" s="13">
        <v>21</v>
      </c>
      <c r="O29" t="s" s="14">
        <v>27</v>
      </c>
      <c r="P29" t="s" s="13">
        <v>23</v>
      </c>
      <c r="Q29" t="s" s="14">
        <v>26</v>
      </c>
      <c r="R29" t="s" s="13">
        <v>22</v>
      </c>
    </row>
    <row r="30" ht="13.55" customHeight="1">
      <c r="A30" s="12"/>
      <c r="B30" t="s" s="13">
        <v>30</v>
      </c>
      <c r="C30" t="s" s="14">
        <v>27</v>
      </c>
      <c r="D30" t="s" s="13">
        <v>24</v>
      </c>
      <c r="E30" t="s" s="14">
        <v>26</v>
      </c>
      <c r="F30" t="s" s="13">
        <v>23</v>
      </c>
      <c r="G30" s="12"/>
      <c r="H30" t="s" s="13">
        <v>22</v>
      </c>
      <c r="I30" t="s" s="14">
        <v>23</v>
      </c>
      <c r="J30" t="s" s="13">
        <v>24</v>
      </c>
      <c r="K30" t="s" s="14">
        <v>22</v>
      </c>
      <c r="L30" t="s" s="13">
        <v>35</v>
      </c>
      <c r="M30" t="s" s="14">
        <v>23</v>
      </c>
      <c r="N30" t="s" s="13">
        <v>22</v>
      </c>
      <c r="O30" t="s" s="14">
        <v>22</v>
      </c>
      <c r="P30" t="s" s="13">
        <v>35</v>
      </c>
      <c r="Q30" t="s" s="14">
        <v>23</v>
      </c>
      <c r="R30" t="s" s="13">
        <v>21</v>
      </c>
    </row>
    <row r="31" ht="13.55" customHeight="1">
      <c r="A31" s="12"/>
      <c r="B31" t="s" s="13">
        <v>31</v>
      </c>
      <c r="C31" t="s" s="14">
        <v>26</v>
      </c>
      <c r="D31" t="s" s="13">
        <v>21</v>
      </c>
      <c r="E31" s="12"/>
      <c r="F31" t="s" s="13">
        <v>27</v>
      </c>
      <c r="G31" s="12"/>
      <c r="H31" t="s" s="13">
        <v>27</v>
      </c>
      <c r="I31" s="12"/>
      <c r="J31" t="s" s="13">
        <v>21</v>
      </c>
      <c r="K31" s="12"/>
      <c r="L31" t="s" s="13">
        <v>21</v>
      </c>
      <c r="M31" s="12"/>
      <c r="N31" t="s" s="13">
        <v>24</v>
      </c>
      <c r="O31" s="12"/>
      <c r="P31" s="15"/>
      <c r="Q31" s="12"/>
      <c r="R31" t="s" s="13">
        <v>24</v>
      </c>
    </row>
    <row r="32" ht="13.55" customHeight="1">
      <c r="A32" s="12"/>
      <c r="B32" t="s" s="13">
        <v>32</v>
      </c>
      <c r="C32" s="12"/>
      <c r="D32" s="15"/>
      <c r="E32" s="12"/>
      <c r="F32" s="15"/>
      <c r="G32" s="12"/>
      <c r="H32" s="15"/>
      <c r="I32" s="12"/>
      <c r="J32" s="15"/>
      <c r="K32" s="12"/>
      <c r="L32" s="15"/>
      <c r="M32" s="12"/>
      <c r="N32" s="15"/>
      <c r="O32" s="12"/>
      <c r="P32" s="15"/>
      <c r="Q32" s="12"/>
      <c r="R32" s="15"/>
    </row>
    <row r="33" ht="13.55" customHeight="1">
      <c r="A33" s="12"/>
      <c r="B33" t="s" s="13">
        <v>33</v>
      </c>
      <c r="C33" s="12"/>
      <c r="D33" s="15"/>
      <c r="E33" s="12"/>
      <c r="F33" s="15"/>
      <c r="G33" s="12"/>
      <c r="H33" s="15"/>
      <c r="I33" s="12"/>
      <c r="J33" s="15"/>
      <c r="K33" s="12"/>
      <c r="L33" s="15"/>
      <c r="M33" s="12"/>
      <c r="N33" s="15"/>
      <c r="O33" s="12"/>
      <c r="P33" s="15"/>
      <c r="Q33" s="12"/>
      <c r="R33" s="15"/>
    </row>
    <row r="34" ht="13.55" customHeight="1">
      <c r="A34" s="12"/>
      <c r="B34" t="s" s="13">
        <v>34</v>
      </c>
      <c r="C34" s="12"/>
      <c r="D34" s="15"/>
      <c r="E34" s="12"/>
      <c r="F34" t="s" s="13">
        <v>35</v>
      </c>
      <c r="G34" s="12"/>
      <c r="H34" s="15"/>
      <c r="I34" s="12"/>
      <c r="J34" t="s" s="13">
        <v>35</v>
      </c>
      <c r="K34" s="12"/>
      <c r="L34" t="s" s="13">
        <v>24</v>
      </c>
      <c r="M34" s="12"/>
      <c r="N34" t="s" s="13">
        <v>27</v>
      </c>
      <c r="O34" s="12"/>
      <c r="P34" s="15"/>
      <c r="Q34" s="12"/>
      <c r="R34" t="s" s="13">
        <v>35</v>
      </c>
    </row>
    <row r="35" ht="14.55" customHeight="1">
      <c r="A35" s="16"/>
      <c r="B35" t="s" s="17">
        <v>36</v>
      </c>
      <c r="C35" s="16"/>
      <c r="D35" s="18"/>
      <c r="E35" s="16"/>
      <c r="F35" s="18"/>
      <c r="G35" s="16"/>
      <c r="H35" s="18"/>
      <c r="I35" s="16"/>
      <c r="J35" s="18"/>
      <c r="K35" s="16"/>
      <c r="L35" s="18"/>
      <c r="M35" s="16"/>
      <c r="N35" s="18"/>
      <c r="O35" s="16"/>
      <c r="P35" s="18"/>
      <c r="Q35" s="16"/>
      <c r="R35" s="18"/>
    </row>
    <row r="36" ht="14.55" customHeight="1">
      <c r="A36" t="s" s="7">
        <v>40</v>
      </c>
      <c r="B36" t="s" s="8">
        <v>20</v>
      </c>
      <c r="C36" t="s" s="9">
        <v>23</v>
      </c>
      <c r="D36" s="10"/>
      <c r="E36" t="s" s="9">
        <v>23</v>
      </c>
      <c r="F36" s="10"/>
      <c r="G36" t="s" s="9">
        <v>35</v>
      </c>
      <c r="H36" s="10"/>
      <c r="I36" t="s" s="9">
        <v>29</v>
      </c>
      <c r="J36" s="10"/>
      <c r="K36" t="s" s="9">
        <v>23</v>
      </c>
      <c r="L36" s="10"/>
      <c r="M36" t="s" s="9">
        <v>35</v>
      </c>
      <c r="N36" s="10"/>
      <c r="O36" s="11"/>
      <c r="P36" s="10"/>
      <c r="Q36" t="s" s="9">
        <v>29</v>
      </c>
      <c r="R36" s="10"/>
    </row>
    <row r="37" ht="13.55" customHeight="1">
      <c r="A37" s="12"/>
      <c r="B37" t="s" s="13">
        <v>25</v>
      </c>
      <c r="C37" t="s" s="14">
        <v>26</v>
      </c>
      <c r="D37" t="s" s="13">
        <v>27</v>
      </c>
      <c r="E37" t="s" s="14">
        <v>24</v>
      </c>
      <c r="F37" t="s" s="13">
        <v>28</v>
      </c>
      <c r="G37" t="s" s="14">
        <v>27</v>
      </c>
      <c r="H37" t="s" s="13">
        <v>28</v>
      </c>
      <c r="I37" t="s" s="14">
        <v>22</v>
      </c>
      <c r="J37" t="s" s="13">
        <v>21</v>
      </c>
      <c r="K37" t="s" s="14">
        <v>27</v>
      </c>
      <c r="L37" t="s" s="13">
        <v>35</v>
      </c>
      <c r="M37" t="s" s="14">
        <v>28</v>
      </c>
      <c r="N37" t="s" s="13">
        <v>24</v>
      </c>
      <c r="O37" s="12"/>
      <c r="P37" t="s" s="13">
        <v>35</v>
      </c>
      <c r="Q37" t="s" s="14">
        <v>35</v>
      </c>
      <c r="R37" s="15"/>
    </row>
    <row r="38" ht="13.55" customHeight="1">
      <c r="A38" s="12"/>
      <c r="B38" t="s" s="13">
        <v>30</v>
      </c>
      <c r="C38" t="s" s="14">
        <v>28</v>
      </c>
      <c r="D38" s="15"/>
      <c r="E38" t="s" s="14">
        <v>27</v>
      </c>
      <c r="F38" t="s" s="13">
        <v>29</v>
      </c>
      <c r="G38" s="12"/>
      <c r="H38" s="15"/>
      <c r="I38" t="s" s="14">
        <v>28</v>
      </c>
      <c r="J38" t="s" s="13">
        <v>35</v>
      </c>
      <c r="K38" s="12"/>
      <c r="L38" t="s" s="13">
        <v>28</v>
      </c>
      <c r="M38" t="s" s="14">
        <v>26</v>
      </c>
      <c r="N38" t="s" s="13">
        <v>27</v>
      </c>
      <c r="O38" t="s" s="14">
        <v>28</v>
      </c>
      <c r="P38" t="s" s="13">
        <v>27</v>
      </c>
      <c r="Q38" t="s" s="14">
        <v>22</v>
      </c>
      <c r="R38" t="s" s="13">
        <v>21</v>
      </c>
    </row>
    <row r="39" ht="13.55" customHeight="1">
      <c r="A39" s="12"/>
      <c r="B39" t="s" s="13">
        <v>31</v>
      </c>
      <c r="C39" s="12"/>
      <c r="D39" s="15"/>
      <c r="E39" t="s" s="14">
        <v>26</v>
      </c>
      <c r="F39" s="15"/>
      <c r="G39" t="s" s="14">
        <v>26</v>
      </c>
      <c r="H39" s="15"/>
      <c r="I39" s="12"/>
      <c r="J39" s="15"/>
      <c r="K39" s="12"/>
      <c r="L39" s="15"/>
      <c r="M39" s="12"/>
      <c r="N39" t="s" s="13">
        <v>29</v>
      </c>
      <c r="O39" s="14"/>
      <c r="P39" s="15"/>
      <c r="Q39" s="12"/>
      <c r="R39" t="s" s="13">
        <v>28</v>
      </c>
    </row>
    <row r="40" ht="13.55" customHeight="1">
      <c r="A40" s="12"/>
      <c r="B40" t="s" s="13">
        <v>32</v>
      </c>
      <c r="C40" s="12"/>
      <c r="D40" s="15"/>
      <c r="E40" s="12"/>
      <c r="F40" s="15"/>
      <c r="G40" s="12"/>
      <c r="H40" s="15"/>
      <c r="I40" s="12"/>
      <c r="J40" s="15"/>
      <c r="K40" s="12"/>
      <c r="L40" s="15"/>
      <c r="M40" s="12"/>
      <c r="N40" s="15"/>
      <c r="O40" s="12"/>
      <c r="P40" s="15"/>
      <c r="Q40" s="12"/>
      <c r="R40" s="15"/>
    </row>
    <row r="41" ht="13.55" customHeight="1">
      <c r="A41" s="12"/>
      <c r="B41" t="s" s="13">
        <v>33</v>
      </c>
      <c r="C41" s="12"/>
      <c r="D41" s="15"/>
      <c r="E41" s="12"/>
      <c r="F41" s="15"/>
      <c r="G41" s="12"/>
      <c r="H41" s="15"/>
      <c r="I41" s="12"/>
      <c r="J41" s="15"/>
      <c r="K41" s="12"/>
      <c r="L41" s="15"/>
      <c r="M41" s="12"/>
      <c r="N41" s="15"/>
      <c r="O41" s="12"/>
      <c r="P41" s="15"/>
      <c r="Q41" s="12"/>
      <c r="R41" s="15"/>
    </row>
    <row r="42" ht="13.55" customHeight="1">
      <c r="A42" s="12"/>
      <c r="B42" t="s" s="13">
        <v>34</v>
      </c>
      <c r="C42" s="12"/>
      <c r="D42" s="15"/>
      <c r="E42" s="12"/>
      <c r="F42" s="15"/>
      <c r="G42" s="12"/>
      <c r="H42" s="15"/>
      <c r="I42" s="12"/>
      <c r="J42" s="15"/>
      <c r="K42" s="12"/>
      <c r="L42" s="15"/>
      <c r="M42" s="12"/>
      <c r="N42" t="s" s="13">
        <v>23</v>
      </c>
      <c r="O42" s="12"/>
      <c r="P42" s="15"/>
      <c r="Q42" s="12"/>
      <c r="R42" t="s" s="13">
        <v>27</v>
      </c>
    </row>
    <row r="43" ht="14.55" customHeight="1">
      <c r="A43" s="16"/>
      <c r="B43" t="s" s="17">
        <v>36</v>
      </c>
      <c r="C43" s="16"/>
      <c r="D43" s="18"/>
      <c r="E43" s="16"/>
      <c r="F43" s="18"/>
      <c r="G43" s="16"/>
      <c r="H43" s="18"/>
      <c r="I43" s="16"/>
      <c r="J43" s="18"/>
      <c r="K43" s="16"/>
      <c r="L43" s="18"/>
      <c r="M43" s="16"/>
      <c r="N43" s="18"/>
      <c r="O43" s="16"/>
      <c r="P43" s="18"/>
      <c r="Q43" s="16"/>
      <c r="R43" s="18"/>
    </row>
    <row r="44" ht="14.55" customHeight="1">
      <c r="A44" t="s" s="7">
        <v>41</v>
      </c>
      <c r="B44" t="s" s="8">
        <v>42</v>
      </c>
      <c r="C44" t="s" s="9">
        <v>21</v>
      </c>
      <c r="D44" t="s" s="8">
        <v>29</v>
      </c>
      <c r="E44" t="s" s="9">
        <v>24</v>
      </c>
      <c r="F44" t="s" s="8">
        <v>28</v>
      </c>
      <c r="G44" t="s" s="9">
        <v>23</v>
      </c>
      <c r="H44" t="s" s="8">
        <v>22</v>
      </c>
      <c r="I44" t="s" s="9">
        <v>26</v>
      </c>
      <c r="J44" t="s" s="8">
        <v>27</v>
      </c>
      <c r="K44" t="s" s="9">
        <v>29</v>
      </c>
      <c r="L44" t="s" s="8">
        <v>21</v>
      </c>
      <c r="M44" t="s" s="9">
        <v>28</v>
      </c>
      <c r="N44" t="s" s="8">
        <v>24</v>
      </c>
      <c r="O44" t="s" s="9">
        <v>22</v>
      </c>
      <c r="P44" t="s" s="8">
        <v>23</v>
      </c>
      <c r="Q44" t="s" s="9">
        <v>27</v>
      </c>
      <c r="R44" s="10"/>
    </row>
    <row r="45" ht="14.55" customHeight="1">
      <c r="A45" s="16"/>
      <c r="B45" t="s" s="17">
        <v>43</v>
      </c>
      <c r="C45" s="16"/>
      <c r="D45" s="18"/>
      <c r="E45" t="s" s="19">
        <v>35</v>
      </c>
      <c r="F45" s="18"/>
      <c r="G45" s="16"/>
      <c r="H45" s="18"/>
      <c r="I45" s="16"/>
      <c r="J45" s="18"/>
      <c r="K45" t="s" s="19">
        <v>26</v>
      </c>
      <c r="L45" s="18"/>
      <c r="M45" s="16"/>
      <c r="N45" t="s" s="17">
        <v>35</v>
      </c>
      <c r="O45" s="16"/>
      <c r="P45" s="18"/>
      <c r="Q45" t="s" s="19">
        <v>26</v>
      </c>
      <c r="R45" s="18"/>
    </row>
    <row r="46" ht="14.55" customHeight="1">
      <c r="A46" t="s" s="7">
        <v>44</v>
      </c>
      <c r="B46" t="s" s="8">
        <v>42</v>
      </c>
      <c r="C46" t="s" s="9">
        <v>21</v>
      </c>
      <c r="D46" t="s" s="8">
        <v>29</v>
      </c>
      <c r="E46" t="s" s="9">
        <v>24</v>
      </c>
      <c r="F46" t="s" s="8">
        <v>28</v>
      </c>
      <c r="G46" t="s" s="9">
        <v>23</v>
      </c>
      <c r="H46" t="s" s="8">
        <v>22</v>
      </c>
      <c r="I46" t="s" s="9">
        <v>26</v>
      </c>
      <c r="J46" t="s" s="8">
        <v>27</v>
      </c>
      <c r="K46" t="s" s="9">
        <v>29</v>
      </c>
      <c r="L46" t="s" s="8">
        <v>21</v>
      </c>
      <c r="M46" t="s" s="9">
        <v>28</v>
      </c>
      <c r="N46" t="s" s="8">
        <v>24</v>
      </c>
      <c r="O46" t="s" s="9">
        <v>22</v>
      </c>
      <c r="P46" t="s" s="8">
        <v>23</v>
      </c>
      <c r="Q46" t="s" s="9">
        <v>27</v>
      </c>
      <c r="R46" s="10"/>
    </row>
    <row r="47" ht="14.55" customHeight="1">
      <c r="A47" s="16"/>
      <c r="B47" t="s" s="17">
        <v>43</v>
      </c>
      <c r="C47" s="16"/>
      <c r="D47" s="18"/>
      <c r="E47" t="s" s="19">
        <v>35</v>
      </c>
      <c r="F47" s="18"/>
      <c r="G47" s="16"/>
      <c r="H47" s="18"/>
      <c r="I47" s="16"/>
      <c r="J47" s="18"/>
      <c r="K47" s="16"/>
      <c r="L47" s="18"/>
      <c r="M47" s="16"/>
      <c r="N47" t="s" s="17">
        <v>35</v>
      </c>
      <c r="O47" s="16"/>
      <c r="P47" s="18"/>
      <c r="Q47" t="s" s="19">
        <v>26</v>
      </c>
      <c r="R47" s="18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R47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20" customWidth="1"/>
    <col min="2" max="9" width="18" style="20" customWidth="1"/>
    <col min="10" max="18" width="6.67188" style="20" customWidth="1"/>
    <col min="19" max="16384" width="6.67188" style="20" customWidth="1"/>
  </cols>
  <sheetData>
    <row r="1" ht="15.35" customHeight="1">
      <c r="A1" t="s" s="21">
        <v>45</v>
      </c>
      <c r="B1" s="2"/>
      <c r="C1" s="2"/>
      <c r="D1" s="2"/>
      <c r="E1" s="2"/>
      <c r="F1" s="2"/>
      <c r="G1" s="2"/>
      <c r="H1" s="2"/>
      <c r="I1" s="2"/>
      <c r="J1" s="22"/>
      <c r="K1" s="23"/>
      <c r="L1" s="23"/>
      <c r="M1" s="23"/>
      <c r="N1" s="23"/>
      <c r="O1" s="23"/>
      <c r="P1" s="23"/>
      <c r="Q1" s="23"/>
      <c r="R1" s="24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  <c r="J2" s="26"/>
      <c r="K2" s="27"/>
      <c r="L2" s="27"/>
      <c r="M2" s="27"/>
      <c r="N2" s="27"/>
      <c r="O2" s="27"/>
      <c r="P2" s="27"/>
      <c r="Q2" s="27"/>
      <c r="R2" s="28"/>
    </row>
    <row r="3" ht="13.55" customHeight="1">
      <c r="A3" s="2"/>
      <c r="B3" s="2"/>
      <c r="C3" s="2"/>
      <c r="D3" s="2"/>
      <c r="E3" s="2"/>
      <c r="F3" s="2"/>
      <c r="G3" s="2"/>
      <c r="H3" s="2"/>
      <c r="I3" s="2"/>
      <c r="J3" s="26"/>
      <c r="K3" s="27"/>
      <c r="L3" s="27"/>
      <c r="M3" s="27"/>
      <c r="N3" s="27"/>
      <c r="O3" s="27"/>
      <c r="P3" s="27"/>
      <c r="Q3" s="27"/>
      <c r="R3" s="28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  <c r="J4" s="26"/>
      <c r="K4" s="27"/>
      <c r="L4" s="27"/>
      <c r="M4" s="27"/>
      <c r="N4" s="27"/>
      <c r="O4" s="27"/>
      <c r="P4" s="27"/>
      <c r="Q4" s="27"/>
      <c r="R4" s="28"/>
    </row>
    <row r="5" ht="13.55" customHeight="1">
      <c r="A5" t="s" s="30">
        <v>19</v>
      </c>
      <c r="B5" t="str" s="2" cm="1">
        <f t="array" ref="B5">_xlfn.TEXTJOIN(" + ",TRUE,IF('Roulement V2'!C4="MC","J1 · 8h-16h · Beaune",""),IF('Roulement V2'!D4="MC","J1 · 8h-16h · Dijon",""),IF('Roulement V2'!C5="MC","J2 · 14h-22h · Beaune",""),IF('Roulement V2'!D5="MC","J2 · 14h-22h · Dijon",""),IF('Roulement V2'!C6="MC","journée · 8h-18h30 · Beaune",""),IF('Roulement V2'!D6="MC","journée · 8h-18h30 · Dijon",""),IF('Roulement V2'!C7="MC","journée · 8h-18h30 · Beaune",""),IF('Roulement V2'!D7="MC","journée · 8h-18h30 · Dijon",""),IF('Roulement V2'!C8="MC","J5 · 12h-20h · Beaune",""),IF('Roulement V2'!D8="MC","J5 · 12h-20h · Dijon",""),IF('Roulement V2'!C9="MC","préJ2/J6 · 8h-14h · Beaune",""),IF('Roulement V2'!D9="MC","préJ2/J6 · 8h-14h · Dijon",""),IF('Roulement V2'!C10="MC","journée · 8h-18h30 · Beaune",""),IF('Roulement V2'!D10="MC","journée · 8h-18h30 · Dijon",""),IF('Roulement V2'!C11="MC","journée · 8h-18h30 · Beaune",""),IF('Roulement V2'!D11="MC","journée · 8h-18h30 · Dijon",""))</f>
        <v>journée · 8h-18h30 · Dijon</v>
      </c>
      <c r="C5" t="str" s="2" cm="1">
        <f t="array" ref="C5">_xlfn.TEXTJOIN(" + ",TRUE,IF('Roulement V2'!E4="MC","J1 · 8h-16h · Beaune",""),IF('Roulement V2'!F4="MC","J1 · 8h-16h · Dijon",""),IF('Roulement V2'!E5="MC","J2 · 14h-22h · Beaune",""),IF('Roulement V2'!F5="MC","J2 · 14h-22h · Dijon",""),IF('Roulement V2'!E6="MC","journée · 8h-18h30 · Beaune",""),IF('Roulement V2'!F6="MC","journée · 8h-18h30 · Dijon",""),IF('Roulement V2'!E7="MC","journée · 8h-18h30 · Beaune",""),IF('Roulement V2'!F7="MC","journée · 8h-18h30 · Dijon",""),IF('Roulement V2'!E8="MC","J5 · 12h-20h · Beaune",""),IF('Roulement V2'!F8="MC","J5 · 12h-20h · Dijon",""),IF('Roulement V2'!E9="MC","préJ2/J6 · 8h-14h · Beaune",""),IF('Roulement V2'!F9="MC","préJ2/J6 · 8h-14h · Dijon",""),IF('Roulement V2'!E10="MC","journée · 8h-18h30 · Beaune",""),IF('Roulement V2'!F10="MC","journée · 8h-18h30 · Dijon",""),IF('Roulement V2'!E11="MC","journée · 8h-18h30 · Beaune",""),IF('Roulement V2'!F11="MC","journée · 8h-18h30 · Dijon",""))</f>
        <v>journée · 8h-18h30 · Beaune</v>
      </c>
      <c r="D5" t="str" s="2" cm="1">
        <f t="array" ref="D5">_xlfn.TEXTJOIN(" + ",TRUE,IF('Roulement V2'!G4="MC","J1 · 8h-16h · Beaune",""),IF('Roulement V2'!H4="MC","J1 · 8h-16h · Dijon",""),IF('Roulement V2'!G5="MC","J2 · 14h-22h · Beaune",""),IF('Roulement V2'!H5="MC","J2 · 14h-22h · Dijon",""),IF('Roulement V2'!G6="MC","journée · 8h-18h30 · Beaune",""),IF('Roulement V2'!H6="MC","journée · 8h-18h30 · Dijon",""),IF('Roulement V2'!G7="MC","journée · 8h-18h30 · Beaune",""),IF('Roulement V2'!H7="MC","journée · 8h-18h30 · Dijon",""),IF('Roulement V2'!G8="MC","J5 · 12h-20h · Beaune",""),IF('Roulement V2'!H8="MC","J5 · 12h-20h · Dijon",""),IF('Roulement V2'!G9="MC","préJ2/J6 · 8h-14h · Beaune",""),IF('Roulement V2'!H9="MC","préJ2/J6 · 8h-14h · Dijon",""),IF('Roulement V2'!G10="MC","journée · 8h-18h30 · Beaune",""),IF('Roulement V2'!H10="MC","journée · 8h-18h30 · Dijon",""),IF('Roulement V2'!G11="MC","journée · 8h-18h30 · Beaune",""),IF('Roulement V2'!H11="MC","journée · 8h-18h30 · Dijon",""))</f>
      </c>
      <c r="E5" t="str" s="2" cm="1">
        <f t="array" ref="E5">_xlfn.TEXTJOIN(" + ",TRUE,IF('Roulement V2'!I4="MC","J1 · 8h-16h · Beaune",""),IF('Roulement V2'!J4="MC","J1 · 8h-16h · Dijon",""),IF('Roulement V2'!I5="MC","J2 · 14h-22h · Beaune",""),IF('Roulement V2'!J5="MC","J2 · 14h-22h · Dijon",""),IF('Roulement V2'!I6="MC","journée · 8h-18h30 · Beaune",""),IF('Roulement V2'!J6="MC","journée · 8h-18h30 · Dijon",""),IF('Roulement V2'!I7="MC","journée · 8h-18h30 · Beaune",""),IF('Roulement V2'!J7="MC","journée · 8h-18h30 · Dijon",""),IF('Roulement V2'!I8="MC","J5 · 12h-20h · Beaune",""),IF('Roulement V2'!J8="MC","J5 · 12h-20h · Dijon",""),IF('Roulement V2'!I9="MC","préJ2/J6 · 8h-14h · Beaune",""),IF('Roulement V2'!J9="MC","préJ2/J6 · 8h-14h · Dijon",""),IF('Roulement V2'!I10="MC","journée · 8h-18h30 · Beaune",""),IF('Roulement V2'!J10="MC","journée · 8h-18h30 · Dijon",""),IF('Roulement V2'!I11="MC","journée · 8h-18h30 · Beaune",""),IF('Roulement V2'!J11="MC","journée · 8h-18h30 · Dijon",""))</f>
        <v>J2 · 14h-22h · Dijon</v>
      </c>
      <c r="F5" t="str" s="2" cm="1">
        <f t="array" ref="F5">_xlfn.TEXTJOIN(" + ",TRUE,IF('Roulement V2'!K4="MC","J1 · 8h-16h · Beaune",""),IF('Roulement V2'!L4="MC","J1 · 8h-16h · Dijon",""),IF('Roulement V2'!K5="MC","J2 · 14h-22h · Beaune",""),IF('Roulement V2'!L5="MC","J2 · 14h-22h · Dijon",""),IF('Roulement V2'!K6="MC","journée · 8h-18h30 · Beaune",""),IF('Roulement V2'!L6="MC","journée · 8h-18h30 · Dijon",""),IF('Roulement V2'!K7="MC","journée · 8h-18h30 · Beaune",""),IF('Roulement V2'!L7="MC","journée · 8h-18h30 · Dijon",""),IF('Roulement V2'!K8="MC","J5 · 12h-20h · Beaune",""),IF('Roulement V2'!L8="MC","J5 · 12h-20h · Dijon",""),IF('Roulement V2'!K9="MC","préJ2/J6 · 8h-14h · Beaune",""),IF('Roulement V2'!L9="MC","préJ2/J6 · 8h-14h · Dijon",""),IF('Roulement V2'!K10="MC","journée · 8h-18h30 · Beaune",""),IF('Roulement V2'!L10="MC","journée · 8h-18h30 · Dijon",""),IF('Roulement V2'!K11="MC","journée · 8h-18h30 · Beaune",""),IF('Roulement V2'!L11="MC","journée · 8h-18h30 · Dijon",""))</f>
        <v>journée · 8h-18h30 · Beaune</v>
      </c>
      <c r="G5" t="str" s="2" cm="1">
        <f t="array" ref="G5">_xlfn.TEXTJOIN(" + ",TRUE,IF('Roulement V2'!M4="MC","J1 · 8h-16h · Beaune",""),IF('Roulement V2'!N4="MC","J1 · 8h-16h · Dijon",""),IF('Roulement V2'!M5="MC","J2 · 14h-22h · Beaune",""),IF('Roulement V2'!N5="MC","J2 · 14h-22h · Dijon",""),IF('Roulement V2'!M6="MC","journée · 8h-18h30 · Beaune",""),IF('Roulement V2'!N6="MC","journée · 8h-18h30 · Dijon",""),IF('Roulement V2'!M7="MC","journée · 8h-18h30 · Beaune",""),IF('Roulement V2'!N7="MC","journée · 8h-18h30 · Dijon",""),IF('Roulement V2'!M8="MC","J5 · 12h-20h · Beaune",""),IF('Roulement V2'!N8="MC","J5 · 12h-20h · Dijon",""),IF('Roulement V2'!M9="MC","préJ2/J6 · 8h-14h · Beaune",""),IF('Roulement V2'!N9="MC","préJ2/J6 · 8h-14h · Dijon",""),IF('Roulement V2'!M10="MC","journée · 8h-18h30 · Beaune",""),IF('Roulement V2'!N10="MC","journée · 8h-18h30 · Dijon",""),IF('Roulement V2'!M11="MC","journée · 8h-18h30 · Beaune",""),IF('Roulement V2'!N11="MC","journée · 8h-18h30 · Dijon",""))</f>
        <v>journée · 8h-18h30 · Beaune</v>
      </c>
      <c r="H5" t="str" s="2" cm="1">
        <f t="array" ref="H5">_xlfn.TEXTJOIN(" + ",TRUE,IF('Roulement V2'!O4="MC","J1 · 8h-16h · Beaune",""),IF('Roulement V2'!P4="MC","J1 · 8h-16h · Dijon",""),IF('Roulement V2'!O5="MC","J2 · 14h-22h · Beaune",""),IF('Roulement V2'!P5="MC","J2 · 14h-22h · Dijon",""),IF('Roulement V2'!O6="MC","journée · 8h-18h30 · Beaune",""),IF('Roulement V2'!P6="MC","journée · 8h-18h30 · Dijon",""),IF('Roulement V2'!O7="MC","journée · 8h-18h30 · Beaune",""),IF('Roulement V2'!P7="MC","journée · 8h-18h30 · Dijon",""),IF('Roulement V2'!O8="MC","J5 · 12h-20h · Beaune",""),IF('Roulement V2'!P8="MC","J5 · 12h-20h · Dijon",""),IF('Roulement V2'!O9="MC","préJ2/J6 · 8h-14h · Beaune",""),IF('Roulement V2'!P9="MC","préJ2/J6 · 8h-14h · Dijon",""),IF('Roulement V2'!O10="MC","journée · 8h-18h30 · Beaune",""),IF('Roulement V2'!P10="MC","journée · 8h-18h30 · Dijon",""),IF('Roulement V2'!O11="MC","journée · 8h-18h30 · Beaune",""),IF('Roulement V2'!P11="MC","journée · 8h-18h30 · Dijon",""))</f>
      </c>
      <c r="I5" t="str" s="2" cm="1">
        <f t="array" ref="I5">_xlfn.TEXTJOIN(" + ",TRUE,IF('Roulement V2'!Q4="MC","J1 · 8h-16h · Beaune",""),IF('Roulement V2'!R4="MC","J1 · 8h-16h · Dijon",""),IF('Roulement V2'!Q5="MC","J2 · 14h-22h · Beaune",""),IF('Roulement V2'!R5="MC","J2 · 14h-22h · Dijon",""),IF('Roulement V2'!Q6="MC","journée · 8h-18h30 · Beaune",""),IF('Roulement V2'!R6="MC","journée · 8h-18h30 · Dijon",""),IF('Roulement V2'!Q7="MC","journée · 8h-18h30 · Beaune",""),IF('Roulement V2'!R7="MC","journée · 8h-18h30 · Dijon",""),IF('Roulement V2'!Q8="MC","J5 · 12h-20h · Beaune",""),IF('Roulement V2'!R8="MC","J5 · 12h-20h · Dijon",""),IF('Roulement V2'!Q9="MC","préJ2/J6 · 8h-14h · Beaune",""),IF('Roulement V2'!R9="MC","préJ2/J6 · 8h-14h · Dijon",""),IF('Roulement V2'!Q10="MC","journée · 8h-18h30 · Beaune",""),IF('Roulement V2'!R10="MC","journée · 8h-18h30 · Dijon",""),IF('Roulement V2'!Q11="MC","journée · 8h-18h30 · Beaune",""),IF('Roulement V2'!R11="MC","journée · 8h-18h30 · Dijon",""))</f>
        <v>J2 · 14h-22h · Dijon</v>
      </c>
      <c r="J5" s="26"/>
      <c r="K5" s="27"/>
      <c r="L5" s="27"/>
      <c r="M5" s="27"/>
      <c r="N5" s="27"/>
      <c r="O5" s="27"/>
      <c r="P5" s="27"/>
      <c r="Q5" s="27"/>
      <c r="R5" s="28"/>
    </row>
    <row r="6" ht="13.55" customHeight="1">
      <c r="A6" t="s" s="30">
        <v>37</v>
      </c>
      <c r="B6" t="str" s="2" cm="1">
        <f t="array" ref="B6">_xlfn.TEXTJOIN(" + ",TRUE,IF('Roulement V2'!C12="MC","J1 · 8h-16h · Beaune",""),IF('Roulement V2'!D12="MC","J1 · 8h-16h · Dijon",""),IF('Roulement V2'!C13="MC","J2 · 14h-22h · Beaune",""),IF('Roulement V2'!D13="MC","J2 · 14h-22h · Dijon",""),IF('Roulement V2'!C14="MC","journée · 8h-18h30 · Beaune",""),IF('Roulement V2'!D14="MC","journée · 8h-18h30 · Dijon",""),IF('Roulement V2'!C15="MC","journée · 8h-18h30 · Beaune",""),IF('Roulement V2'!D15="MC","journée · 8h-18h30 · Dijon",""),IF('Roulement V2'!C16="MC","J5 · 12h-20h · Beaune",""),IF('Roulement V2'!D16="MC","J5 · 12h-20h · Dijon",""),IF('Roulement V2'!C17="MC","préJ2/J6 · 8h-14h · Beaune",""),IF('Roulement V2'!D17="MC","préJ2/J6 · 8h-14h · Dijon",""),IF('Roulement V2'!C18="MC","journée · 8h-18h30 · Beaune",""),IF('Roulement V2'!D18="MC","journée · 8h-18h30 · Dijon",""),IF('Roulement V2'!C19="MC","journée · 8h-18h30 · Beaune",""),IF('Roulement V2'!D19="MC","journée · 8h-18h30 · Dijon",""))</f>
      </c>
      <c r="C6" t="str" s="2" cm="1">
        <f t="array" ref="C6">_xlfn.TEXTJOIN(" + ",TRUE,IF('Roulement V2'!E12="MC","J1 · 8h-16h · Beaune",""),IF('Roulement V2'!F12="MC","J1 · 8h-16h · Dijon",""),IF('Roulement V2'!E13="MC","J2 · 14h-22h · Beaune",""),IF('Roulement V2'!F13="MC","J2 · 14h-22h · Dijon",""),IF('Roulement V2'!E14="MC","journée · 8h-18h30 · Beaune",""),IF('Roulement V2'!F14="MC","journée · 8h-18h30 · Dijon",""),IF('Roulement V2'!E15="MC","journée · 8h-18h30 · Beaune",""),IF('Roulement V2'!F15="MC","journée · 8h-18h30 · Dijon",""),IF('Roulement V2'!E16="MC","J5 · 12h-20h · Beaune",""),IF('Roulement V2'!F16="MC","J5 · 12h-20h · Dijon",""),IF('Roulement V2'!E17="MC","préJ2/J6 · 8h-14h · Beaune",""),IF('Roulement V2'!F17="MC","préJ2/J6 · 8h-14h · Dijon",""),IF('Roulement V2'!E18="MC","journée · 8h-18h30 · Beaune",""),IF('Roulement V2'!F18="MC","journée · 8h-18h30 · Dijon",""),IF('Roulement V2'!E19="MC","journée · 8h-18h30 · Beaune",""),IF('Roulement V2'!F19="MC","journée · 8h-18h30 · Dijon",""))</f>
        <v>J2 · 14h-22h · Dijon</v>
      </c>
      <c r="D6" t="str" s="2" cm="1">
        <f t="array" ref="D6">_xlfn.TEXTJOIN(" + ",TRUE,IF('Roulement V2'!G12="MC","J1 · 8h-16h · Beaune",""),IF('Roulement V2'!H12="MC","J1 · 8h-16h · Dijon",""),IF('Roulement V2'!G13="MC","J2 · 14h-22h · Beaune",""),IF('Roulement V2'!H13="MC","J2 · 14h-22h · Dijon",""),IF('Roulement V2'!G14="MC","journée · 8h-18h30 · Beaune",""),IF('Roulement V2'!H14="MC","journée · 8h-18h30 · Dijon",""),IF('Roulement V2'!G15="MC","journée · 8h-18h30 · Beaune",""),IF('Roulement V2'!H15="MC","journée · 8h-18h30 · Dijon",""),IF('Roulement V2'!G16="MC","J5 · 12h-20h · Beaune",""),IF('Roulement V2'!H16="MC","J5 · 12h-20h · Dijon",""),IF('Roulement V2'!G17="MC","préJ2/J6 · 8h-14h · Beaune",""),IF('Roulement V2'!H17="MC","préJ2/J6 · 8h-14h · Dijon",""),IF('Roulement V2'!G18="MC","journée · 8h-18h30 · Beaune",""),IF('Roulement V2'!H18="MC","journée · 8h-18h30 · Dijon",""),IF('Roulement V2'!G19="MC","journée · 8h-18h30 · Beaune",""),IF('Roulement V2'!H19="MC","journée · 8h-18h30 · Dijon",""))</f>
        <v>journée · 8h-18h30 · Beaune</v>
      </c>
      <c r="E6" t="str" s="2" cm="1">
        <f t="array" ref="E6">_xlfn.TEXTJOIN(" + ",TRUE,IF('Roulement V2'!I12="MC","J1 · 8h-16h · Beaune",""),IF('Roulement V2'!J12="MC","J1 · 8h-16h · Dijon",""),IF('Roulement V2'!I13="MC","J2 · 14h-22h · Beaune",""),IF('Roulement V2'!J13="MC","J2 · 14h-22h · Dijon",""),IF('Roulement V2'!I14="MC","journée · 8h-18h30 · Beaune",""),IF('Roulement V2'!J14="MC","journée · 8h-18h30 · Dijon",""),IF('Roulement V2'!I15="MC","journée · 8h-18h30 · Beaune",""),IF('Roulement V2'!J15="MC","journée · 8h-18h30 · Dijon",""),IF('Roulement V2'!I16="MC","J5 · 12h-20h · Beaune",""),IF('Roulement V2'!J16="MC","J5 · 12h-20h · Dijon",""),IF('Roulement V2'!I17="MC","préJ2/J6 · 8h-14h · Beaune",""),IF('Roulement V2'!J17="MC","préJ2/J6 · 8h-14h · Dijon",""),IF('Roulement V2'!I18="MC","journée · 8h-18h30 · Beaune",""),IF('Roulement V2'!J18="MC","journée · 8h-18h30 · Dijon",""),IF('Roulement V2'!I19="MC","journée · 8h-18h30 · Beaune",""),IF('Roulement V2'!J19="MC","journée · 8h-18h30 · Dijon",""))</f>
        <v>J2 · 14h-22h · Beaune</v>
      </c>
      <c r="F6" t="str" s="2" cm="1">
        <f t="array" ref="F6">_xlfn.TEXTJOIN(" + ",TRUE,IF('Roulement V2'!K12="MC","J1 · 8h-16h · Beaune",""),IF('Roulement V2'!L12="MC","J1 · 8h-16h · Dijon",""),IF('Roulement V2'!K13="MC","J2 · 14h-22h · Beaune",""),IF('Roulement V2'!L13="MC","J2 · 14h-22h · Dijon",""),IF('Roulement V2'!K14="MC","journée · 8h-18h30 · Beaune",""),IF('Roulement V2'!L14="MC","journée · 8h-18h30 · Dijon",""),IF('Roulement V2'!K15="MC","journée · 8h-18h30 · Beaune",""),IF('Roulement V2'!L15="MC","journée · 8h-18h30 · Dijon",""),IF('Roulement V2'!K16="MC","J5 · 12h-20h · Beaune",""),IF('Roulement V2'!L16="MC","J5 · 12h-20h · Dijon",""),IF('Roulement V2'!K17="MC","préJ2/J6 · 8h-14h · Beaune",""),IF('Roulement V2'!L17="MC","préJ2/J6 · 8h-14h · Dijon",""),IF('Roulement V2'!K18="MC","journée · 8h-18h30 · Beaune",""),IF('Roulement V2'!L18="MC","journée · 8h-18h30 · Dijon",""),IF('Roulement V2'!K19="MC","journée · 8h-18h30 · Beaune",""),IF('Roulement V2'!L19="MC","journée · 8h-18h30 · Dijon",""))</f>
      </c>
      <c r="G6" t="str" s="2" cm="1">
        <f t="array" ref="G6">_xlfn.TEXTJOIN(" + ",TRUE,IF('Roulement V2'!M12="MC","J1 · 8h-16h · Beaune",""),IF('Roulement V2'!N12="MC","J1 · 8h-16h · Dijon",""),IF('Roulement V2'!M13="MC","J2 · 14h-22h · Beaune",""),IF('Roulement V2'!N13="MC","J2 · 14h-22h · Dijon",""),IF('Roulement V2'!M14="MC","journée · 8h-18h30 · Beaune",""),IF('Roulement V2'!N14="MC","journée · 8h-18h30 · Dijon",""),IF('Roulement V2'!M15="MC","journée · 8h-18h30 · Beaune",""),IF('Roulement V2'!N15="MC","journée · 8h-18h30 · Dijon",""),IF('Roulement V2'!M16="MC","J5 · 12h-20h · Beaune",""),IF('Roulement V2'!N16="MC","J5 · 12h-20h · Dijon",""),IF('Roulement V2'!M17="MC","préJ2/J6 · 8h-14h · Beaune",""),IF('Roulement V2'!N17="MC","préJ2/J6 · 8h-14h · Dijon",""),IF('Roulement V2'!M18="MC","journée · 8h-18h30 · Beaune",""),IF('Roulement V2'!N18="MC","journée · 8h-18h30 · Dijon",""),IF('Roulement V2'!M19="MC","journée · 8h-18h30 · Beaune",""),IF('Roulement V2'!N19="MC","journée · 8h-18h30 · Dijon",""))</f>
        <v>J2 · 14h-22h · Dijon</v>
      </c>
      <c r="H6" t="str" s="2" cm="1">
        <f t="array" ref="H6">_xlfn.TEXTJOIN(" + ",TRUE,IF('Roulement V2'!O12="MC","J1 · 8h-16h · Beaune",""),IF('Roulement V2'!P12="MC","J1 · 8h-16h · Dijon",""),IF('Roulement V2'!O13="MC","J2 · 14h-22h · Beaune",""),IF('Roulement V2'!P13="MC","J2 · 14h-22h · Dijon",""),IF('Roulement V2'!O14="MC","journée · 8h-18h30 · Beaune",""),IF('Roulement V2'!P14="MC","journée · 8h-18h30 · Dijon",""),IF('Roulement V2'!O15="MC","journée · 8h-18h30 · Beaune",""),IF('Roulement V2'!P15="MC","journée · 8h-18h30 · Dijon",""),IF('Roulement V2'!O16="MC","J5 · 12h-20h · Beaune",""),IF('Roulement V2'!P16="MC","J5 · 12h-20h · Dijon",""),IF('Roulement V2'!O17="MC","préJ2/J6 · 8h-14h · Beaune",""),IF('Roulement V2'!P17="MC","préJ2/J6 · 8h-14h · Dijon",""),IF('Roulement V2'!O18="MC","journée · 8h-18h30 · Beaune",""),IF('Roulement V2'!P18="MC","journée · 8h-18h30 · Dijon",""),IF('Roulement V2'!O19="MC","journée · 8h-18h30 · Beaune",""),IF('Roulement V2'!P19="MC","journée · 8h-18h30 · Dijon",""))</f>
        <v>J2 · 14h-22h · Dijon</v>
      </c>
      <c r="I6" t="str" s="2" cm="1">
        <f t="array" ref="I6">_xlfn.TEXTJOIN(" + ",TRUE,IF('Roulement V2'!Q12="MC","J1 · 8h-16h · Beaune",""),IF('Roulement V2'!R12="MC","J1 · 8h-16h · Dijon",""),IF('Roulement V2'!Q13="MC","J2 · 14h-22h · Beaune",""),IF('Roulement V2'!R13="MC","J2 · 14h-22h · Dijon",""),IF('Roulement V2'!Q14="MC","journée · 8h-18h30 · Beaune",""),IF('Roulement V2'!R14="MC","journée · 8h-18h30 · Dijon",""),IF('Roulement V2'!Q15="MC","journée · 8h-18h30 · Beaune",""),IF('Roulement V2'!R15="MC","journée · 8h-18h30 · Dijon",""),IF('Roulement V2'!Q16="MC","J5 · 12h-20h · Beaune",""),IF('Roulement V2'!R16="MC","J5 · 12h-20h · Dijon",""),IF('Roulement V2'!Q17="MC","préJ2/J6 · 8h-14h · Beaune",""),IF('Roulement V2'!R17="MC","préJ2/J6 · 8h-14h · Dijon",""),IF('Roulement V2'!Q18="MC","journée · 8h-18h30 · Beaune",""),IF('Roulement V2'!R18="MC","journée · 8h-18h30 · Dijon",""),IF('Roulement V2'!Q19="MC","journée · 8h-18h30 · Beaune",""),IF('Roulement V2'!R19="MC","journée · 8h-18h30 · Dijon",""))</f>
        <v>J2 · 14h-22h · Beaune</v>
      </c>
      <c r="J6" s="26"/>
      <c r="K6" s="27"/>
      <c r="L6" s="27"/>
      <c r="M6" s="27"/>
      <c r="N6" s="27"/>
      <c r="O6" s="27"/>
      <c r="P6" s="27"/>
      <c r="Q6" s="27"/>
      <c r="R6" s="28"/>
    </row>
    <row r="7" ht="13.55" customHeight="1">
      <c r="A7" t="s" s="30">
        <v>38</v>
      </c>
      <c r="B7" t="str" s="2" cm="1">
        <f t="array" ref="B7">_xlfn.TEXTJOIN(" + ",TRUE,IF('Roulement V2'!C20="MC","J1 · 8h-16h · Beaune",""),IF('Roulement V2'!D20="MC","J1 · 8h-16h · Dijon",""),IF('Roulement V2'!C21="MC","J2 · 14h-22h · Beaune",""),IF('Roulement V2'!D21="MC","J2 · 14h-22h · Dijon",""),IF('Roulement V2'!C22="MC","journée · 8h-18h30 · Beaune",""),IF('Roulement V2'!D22="MC","journée · 8h-18h30 · Dijon",""),IF('Roulement V2'!C23="MC","journée · 8h-18h30 · Beaune",""),IF('Roulement V2'!D23="MC","journée · 8h-18h30 · Dijon",""),IF('Roulement V2'!C24="MC","J5 · 12h-20h · Beaune",""),IF('Roulement V2'!D24="MC","J5 · 12h-20h · Dijon",""),IF('Roulement V2'!C25="MC","préJ2/J6 · 8h-14h · Beaune",""),IF('Roulement V2'!D25="MC","préJ2/J6 · 8h-14h · Dijon",""),IF('Roulement V2'!C26="MC","journée · 8h-18h30 · Beaune",""),IF('Roulement V2'!D26="MC","journée · 8h-18h30 · Dijon",""),IF('Roulement V2'!C27="MC","journée · 8h-18h30 · Beaune",""),IF('Roulement V2'!D27="MC","journée · 8h-18h30 · Dijon",""))</f>
        <v>J1 · 8h-16h · Beaune</v>
      </c>
      <c r="C7" t="str" s="2" cm="1">
        <f t="array" ref="C7">_xlfn.TEXTJOIN(" + ",TRUE,IF('Roulement V2'!E20="MC","J1 · 8h-16h · Beaune",""),IF('Roulement V2'!F20="MC","J1 · 8h-16h · Dijon",""),IF('Roulement V2'!E21="MC","J2 · 14h-22h · Beaune",""),IF('Roulement V2'!F21="MC","J2 · 14h-22h · Dijon",""),IF('Roulement V2'!E22="MC","journée · 8h-18h30 · Beaune",""),IF('Roulement V2'!F22="MC","journée · 8h-18h30 · Dijon",""),IF('Roulement V2'!E23="MC","journée · 8h-18h30 · Beaune",""),IF('Roulement V2'!F23="MC","journée · 8h-18h30 · Dijon",""),IF('Roulement V2'!E24="MC","J5 · 12h-20h · Beaune",""),IF('Roulement V2'!F24="MC","J5 · 12h-20h · Dijon",""),IF('Roulement V2'!E25="MC","préJ2/J6 · 8h-14h · Beaune",""),IF('Roulement V2'!F25="MC","préJ2/J6 · 8h-14h · Dijon",""),IF('Roulement V2'!E26="MC","journée · 8h-18h30 · Beaune",""),IF('Roulement V2'!F26="MC","journée · 8h-18h30 · Dijon",""),IF('Roulement V2'!E27="MC","journée · 8h-18h30 · Beaune",""),IF('Roulement V2'!F27="MC","journée · 8h-18h30 · Dijon",""))</f>
      </c>
      <c r="D7" t="str" s="2" cm="1">
        <f t="array" ref="D7">_xlfn.TEXTJOIN(" + ",TRUE,IF('Roulement V2'!G20="MC","J1 · 8h-16h · Beaune",""),IF('Roulement V2'!H20="MC","J1 · 8h-16h · Dijon",""),IF('Roulement V2'!G21="MC","J2 · 14h-22h · Beaune",""),IF('Roulement V2'!H21="MC","J2 · 14h-22h · Dijon",""),IF('Roulement V2'!G22="MC","journée · 8h-18h30 · Beaune",""),IF('Roulement V2'!H22="MC","journée · 8h-18h30 · Dijon",""),IF('Roulement V2'!G23="MC","journée · 8h-18h30 · Beaune",""),IF('Roulement V2'!H23="MC","journée · 8h-18h30 · Dijon",""),IF('Roulement V2'!G24="MC","J5 · 12h-20h · Beaune",""),IF('Roulement V2'!H24="MC","J5 · 12h-20h · Dijon",""),IF('Roulement V2'!G25="MC","préJ2/J6 · 8h-14h · Beaune",""),IF('Roulement V2'!H25="MC","préJ2/J6 · 8h-14h · Dijon",""),IF('Roulement V2'!G26="MC","journée · 8h-18h30 · Beaune",""),IF('Roulement V2'!H26="MC","journée · 8h-18h30 · Dijon",""),IF('Roulement V2'!G27="MC","journée · 8h-18h30 · Beaune",""),IF('Roulement V2'!H27="MC","journée · 8h-18h30 · Dijon",""))</f>
      </c>
      <c r="E7" t="str" s="2" cm="1">
        <f t="array" ref="E7">_xlfn.TEXTJOIN(" + ",TRUE,IF('Roulement V2'!I20="MC","J1 · 8h-16h · Beaune",""),IF('Roulement V2'!J20="MC","J1 · 8h-16h · Dijon",""),IF('Roulement V2'!I21="MC","J2 · 14h-22h · Beaune",""),IF('Roulement V2'!J21="MC","J2 · 14h-22h · Dijon",""),IF('Roulement V2'!I22="MC","journée · 8h-18h30 · Beaune",""),IF('Roulement V2'!J22="MC","journée · 8h-18h30 · Dijon",""),IF('Roulement V2'!I23="MC","journée · 8h-18h30 · Beaune",""),IF('Roulement V2'!J23="MC","journée · 8h-18h30 · Dijon",""),IF('Roulement V2'!I24="MC","J5 · 12h-20h · Beaune",""),IF('Roulement V2'!J24="MC","J5 · 12h-20h · Dijon",""),IF('Roulement V2'!I25="MC","préJ2/J6 · 8h-14h · Beaune",""),IF('Roulement V2'!J25="MC","préJ2/J6 · 8h-14h · Dijon",""),IF('Roulement V2'!I26="MC","journée · 8h-18h30 · Beaune",""),IF('Roulement V2'!J26="MC","journée · 8h-18h30 · Dijon",""),IF('Roulement V2'!I27="MC","journée · 8h-18h30 · Beaune",""),IF('Roulement V2'!J27="MC","journée · 8h-18h30 · Dijon",""))</f>
        <v>J1 · 8h-16h · Beaune</v>
      </c>
      <c r="F7" t="str" s="2" cm="1">
        <f t="array" ref="F7">_xlfn.TEXTJOIN(" + ",TRUE,IF('Roulement V2'!K20="MC","J1 · 8h-16h · Beaune",""),IF('Roulement V2'!L20="MC","J1 · 8h-16h · Dijon",""),IF('Roulement V2'!K21="MC","J2 · 14h-22h · Beaune",""),IF('Roulement V2'!L21="MC","J2 · 14h-22h · Dijon",""),IF('Roulement V2'!K22="MC","journée · 8h-18h30 · Beaune",""),IF('Roulement V2'!L22="MC","journée · 8h-18h30 · Dijon",""),IF('Roulement V2'!K23="MC","journée · 8h-18h30 · Beaune",""),IF('Roulement V2'!L23="MC","journée · 8h-18h30 · Dijon",""),IF('Roulement V2'!K24="MC","J5 · 12h-20h · Beaune",""),IF('Roulement V2'!L24="MC","J5 · 12h-20h · Dijon",""),IF('Roulement V2'!K25="MC","préJ2/J6 · 8h-14h · Beaune",""),IF('Roulement V2'!L25="MC","préJ2/J6 · 8h-14h · Dijon",""),IF('Roulement V2'!K26="MC","journée · 8h-18h30 · Beaune",""),IF('Roulement V2'!L26="MC","journée · 8h-18h30 · Dijon",""),IF('Roulement V2'!K27="MC","journée · 8h-18h30 · Beaune",""),IF('Roulement V2'!L27="MC","journée · 8h-18h30 · Dijon",""))</f>
        <v>J1 · 8h-16h · Beaune</v>
      </c>
      <c r="G7" t="str" s="2" cm="1">
        <f t="array" ref="G7">_xlfn.TEXTJOIN(" + ",TRUE,IF('Roulement V2'!M20="MC","J1 · 8h-16h · Beaune",""),IF('Roulement V2'!N20="MC","J1 · 8h-16h · Dijon",""),IF('Roulement V2'!M21="MC","J2 · 14h-22h · Beaune",""),IF('Roulement V2'!N21="MC","J2 · 14h-22h · Dijon",""),IF('Roulement V2'!M22="MC","journée · 8h-18h30 · Beaune",""),IF('Roulement V2'!N22="MC","journée · 8h-18h30 · Dijon",""),IF('Roulement V2'!M23="MC","journée · 8h-18h30 · Beaune",""),IF('Roulement V2'!N23="MC","journée · 8h-18h30 · Dijon",""),IF('Roulement V2'!M24="MC","J5 · 12h-20h · Beaune",""),IF('Roulement V2'!N24="MC","J5 · 12h-20h · Dijon",""),IF('Roulement V2'!M25="MC","préJ2/J6 · 8h-14h · Beaune",""),IF('Roulement V2'!N25="MC","préJ2/J6 · 8h-14h · Dijon",""),IF('Roulement V2'!M26="MC","journée · 8h-18h30 · Beaune",""),IF('Roulement V2'!N26="MC","journée · 8h-18h30 · Dijon",""),IF('Roulement V2'!M27="MC","journée · 8h-18h30 · Beaune",""),IF('Roulement V2'!N27="MC","journée · 8h-18h30 · Dijon",""))</f>
      </c>
      <c r="H7" t="str" s="2" cm="1">
        <f t="array" ref="H7">_xlfn.TEXTJOIN(" + ",TRUE,IF('Roulement V2'!O20="MC","J1 · 8h-16h · Beaune",""),IF('Roulement V2'!P20="MC","J1 · 8h-16h · Dijon",""),IF('Roulement V2'!O21="MC","J2 · 14h-22h · Beaune",""),IF('Roulement V2'!P21="MC","J2 · 14h-22h · Dijon",""),IF('Roulement V2'!O22="MC","journée · 8h-18h30 · Beaune",""),IF('Roulement V2'!P22="MC","journée · 8h-18h30 · Dijon",""),IF('Roulement V2'!O23="MC","journée · 8h-18h30 · Beaune",""),IF('Roulement V2'!P23="MC","journée · 8h-18h30 · Dijon",""),IF('Roulement V2'!O24="MC","J5 · 12h-20h · Beaune",""),IF('Roulement V2'!P24="MC","J5 · 12h-20h · Dijon",""),IF('Roulement V2'!O25="MC","préJ2/J6 · 8h-14h · Beaune",""),IF('Roulement V2'!P25="MC","préJ2/J6 · 8h-14h · Dijon",""),IF('Roulement V2'!O26="MC","journée · 8h-18h30 · Beaune",""),IF('Roulement V2'!P26="MC","journée · 8h-18h30 · Dijon",""),IF('Roulement V2'!O27="MC","journée · 8h-18h30 · Beaune",""),IF('Roulement V2'!P27="MC","journée · 8h-18h30 · Dijon",""))</f>
      </c>
      <c r="I7" t="str" s="2" cm="1">
        <f t="array" ref="I7">_xlfn.TEXTJOIN(" + ",TRUE,IF('Roulement V2'!Q20="MC","J1 · 8h-16h · Beaune",""),IF('Roulement V2'!R20="MC","J1 · 8h-16h · Dijon",""),IF('Roulement V2'!Q21="MC","J2 · 14h-22h · Beaune",""),IF('Roulement V2'!R21="MC","J2 · 14h-22h · Dijon",""),IF('Roulement V2'!Q22="MC","journée · 8h-18h30 · Beaune",""),IF('Roulement V2'!R22="MC","journée · 8h-18h30 · Dijon",""),IF('Roulement V2'!Q23="MC","journée · 8h-18h30 · Beaune",""),IF('Roulement V2'!R23="MC","journée · 8h-18h30 · Dijon",""),IF('Roulement V2'!Q24="MC","J5 · 12h-20h · Beaune",""),IF('Roulement V2'!R24="MC","J5 · 12h-20h · Dijon",""),IF('Roulement V2'!Q25="MC","préJ2/J6 · 8h-14h · Beaune",""),IF('Roulement V2'!R25="MC","préJ2/J6 · 8h-14h · Dijon",""),IF('Roulement V2'!Q26="MC","journée · 8h-18h30 · Beaune",""),IF('Roulement V2'!R26="MC","journée · 8h-18h30 · Dijon",""),IF('Roulement V2'!Q27="MC","journée · 8h-18h30 · Beaune",""),IF('Roulement V2'!R27="MC","journée · 8h-18h30 · Dijon",""))</f>
        <v>J1 · 8h-16h · Beaune</v>
      </c>
      <c r="J7" s="26"/>
      <c r="K7" s="27"/>
      <c r="L7" s="27"/>
      <c r="M7" s="27"/>
      <c r="N7" s="27"/>
      <c r="O7" s="27"/>
      <c r="P7" s="27"/>
      <c r="Q7" s="27"/>
      <c r="R7" s="28"/>
    </row>
    <row r="8" ht="13.55" customHeight="1">
      <c r="A8" t="s" s="30">
        <v>39</v>
      </c>
      <c r="B8" t="str" s="2" cm="1">
        <f t="array" ref="B8">_xlfn.TEXTJOIN(" + ",TRUE,IF('Roulement V2'!C28="MC","J1 · 8h-16h · Beaune",""),IF('Roulement V2'!D28="MC","J1 · 8h-16h · Dijon",""),IF('Roulement V2'!C29="MC","J2 · 14h-22h · Beaune",""),IF('Roulement V2'!D29="MC","J2 · 14h-22h · Dijon",""),IF('Roulement V2'!C30="MC","journée · 8h-18h30 · Beaune",""),IF('Roulement V2'!D30="MC","journée · 8h-18h30 · Dijon",""),IF('Roulement V2'!C31="MC","journée · 8h-18h30 · Beaune",""),IF('Roulement V2'!D31="MC","journée · 8h-18h30 · Dijon",""),IF('Roulement V2'!C32="MC","J5 · 12h-20h · Beaune",""),IF('Roulement V2'!D32="MC","J5 · 12h-20h · Dijon",""),IF('Roulement V2'!C33="MC","préJ2/J6 · 8h-14h · Beaune",""),IF('Roulement V2'!D33="MC","préJ2/J6 · 8h-14h · Dijon",""),IF('Roulement V2'!C34="MC","journée · 8h-18h30 · Beaune",""),IF('Roulement V2'!D34="MC","journée · 8h-18h30 · Dijon",""),IF('Roulement V2'!C35="MC","journée · 8h-18h30 · Beaune",""),IF('Roulement V2'!D35="MC","journée · 8h-18h30 · Dijon",""))</f>
      </c>
      <c r="C8" t="str" s="2" cm="1">
        <f t="array" ref="C8">_xlfn.TEXTJOIN(" + ",TRUE,IF('Roulement V2'!E28="MC","J1 · 8h-16h · Beaune",""),IF('Roulement V2'!F28="MC","J1 · 8h-16h · Dijon",""),IF('Roulement V2'!E29="MC","J2 · 14h-22h · Beaune",""),IF('Roulement V2'!F29="MC","J2 · 14h-22h · Dijon",""),IF('Roulement V2'!E30="MC","journée · 8h-18h30 · Beaune",""),IF('Roulement V2'!F30="MC","journée · 8h-18h30 · Dijon",""),IF('Roulement V2'!E31="MC","journée · 8h-18h30 · Beaune",""),IF('Roulement V2'!F31="MC","journée · 8h-18h30 · Dijon",""),IF('Roulement V2'!E32="MC","J5 · 12h-20h · Beaune",""),IF('Roulement V2'!F32="MC","J5 · 12h-20h · Dijon",""),IF('Roulement V2'!E33="MC","préJ2/J6 · 8h-14h · Beaune",""),IF('Roulement V2'!F33="MC","préJ2/J6 · 8h-14h · Dijon",""),IF('Roulement V2'!E34="MC","journée · 8h-18h30 · Beaune",""),IF('Roulement V2'!F34="MC","journée · 8h-18h30 · Dijon",""),IF('Roulement V2'!E35="MC","journée · 8h-18h30 · Beaune",""),IF('Roulement V2'!F35="MC","journée · 8h-18h30 · Dijon",""))</f>
      </c>
      <c r="D8" t="str" s="2" cm="1">
        <f t="array" ref="D8">_xlfn.TEXTJOIN(" + ",TRUE,IF('Roulement V2'!G28="MC","J1 · 8h-16h · Beaune",""),IF('Roulement V2'!H28="MC","J1 · 8h-16h · Dijon",""),IF('Roulement V2'!G29="MC","J2 · 14h-22h · Beaune",""),IF('Roulement V2'!H29="MC","J2 · 14h-22h · Dijon",""),IF('Roulement V2'!G30="MC","journée · 8h-18h30 · Beaune",""),IF('Roulement V2'!H30="MC","journée · 8h-18h30 · Dijon",""),IF('Roulement V2'!G31="MC","journée · 8h-18h30 · Beaune",""),IF('Roulement V2'!H31="MC","journée · 8h-18h30 · Dijon",""),IF('Roulement V2'!G32="MC","J5 · 12h-20h · Beaune",""),IF('Roulement V2'!H32="MC","J5 · 12h-20h · Dijon",""),IF('Roulement V2'!G33="MC","préJ2/J6 · 8h-14h · Beaune",""),IF('Roulement V2'!H33="MC","préJ2/J6 · 8h-14h · Dijon",""),IF('Roulement V2'!G34="MC","journée · 8h-18h30 · Beaune",""),IF('Roulement V2'!H34="MC","journée · 8h-18h30 · Dijon",""),IF('Roulement V2'!G35="MC","journée · 8h-18h30 · Beaune",""),IF('Roulement V2'!H35="MC","journée · 8h-18h30 · Dijon",""))</f>
      </c>
      <c r="E8" t="str" s="2" cm="1">
        <f t="array" ref="E8">_xlfn.TEXTJOIN(" + ",TRUE,IF('Roulement V2'!I28="MC","J1 · 8h-16h · Beaune",""),IF('Roulement V2'!J28="MC","J1 · 8h-16h · Dijon",""),IF('Roulement V2'!I29="MC","J2 · 14h-22h · Beaune",""),IF('Roulement V2'!J29="MC","J2 · 14h-22h · Dijon",""),IF('Roulement V2'!I30="MC","journée · 8h-18h30 · Beaune",""),IF('Roulement V2'!J30="MC","journée · 8h-18h30 · Dijon",""),IF('Roulement V2'!I31="MC","journée · 8h-18h30 · Beaune",""),IF('Roulement V2'!J31="MC","journée · 8h-18h30 · Dijon",""),IF('Roulement V2'!I32="MC","J5 · 12h-20h · Beaune",""),IF('Roulement V2'!J32="MC","J5 · 12h-20h · Dijon",""),IF('Roulement V2'!I33="MC","préJ2/J6 · 8h-14h · Beaune",""),IF('Roulement V2'!J33="MC","préJ2/J6 · 8h-14h · Dijon",""),IF('Roulement V2'!I34="MC","journée · 8h-18h30 · Beaune",""),IF('Roulement V2'!J34="MC","journée · 8h-18h30 · Dijon",""),IF('Roulement V2'!I35="MC","journée · 8h-18h30 · Beaune",""),IF('Roulement V2'!J35="MC","journée · 8h-18h30 · Dijon",""))</f>
      </c>
      <c r="F8" t="str" s="2" cm="1">
        <f t="array" ref="F8">_xlfn.TEXTJOIN(" + ",TRUE,IF('Roulement V2'!K28="MC","J1 · 8h-16h · Beaune",""),IF('Roulement V2'!L28="MC","J1 · 8h-16h · Dijon",""),IF('Roulement V2'!K29="MC","J2 · 14h-22h · Beaune",""),IF('Roulement V2'!L29="MC","J2 · 14h-22h · Dijon",""),IF('Roulement V2'!K30="MC","journée · 8h-18h30 · Beaune",""),IF('Roulement V2'!L30="MC","journée · 8h-18h30 · Dijon",""),IF('Roulement V2'!K31="MC","journée · 8h-18h30 · Beaune",""),IF('Roulement V2'!L31="MC","journée · 8h-18h30 · Dijon",""),IF('Roulement V2'!K32="MC","J5 · 12h-20h · Beaune",""),IF('Roulement V2'!L32="MC","J5 · 12h-20h · Dijon",""),IF('Roulement V2'!K33="MC","préJ2/J6 · 8h-14h · Beaune",""),IF('Roulement V2'!L33="MC","préJ2/J6 · 8h-14h · Dijon",""),IF('Roulement V2'!K34="MC","journée · 8h-18h30 · Beaune",""),IF('Roulement V2'!L34="MC","journée · 8h-18h30 · Dijon",""),IF('Roulement V2'!K35="MC","journée · 8h-18h30 · Beaune",""),IF('Roulement V2'!L35="MC","journée · 8h-18h30 · Dijon",""))</f>
      </c>
      <c r="G8" t="str" s="2" cm="1">
        <f t="array" ref="G8">_xlfn.TEXTJOIN(" + ",TRUE,IF('Roulement V2'!M28="MC","J1 · 8h-16h · Beaune",""),IF('Roulement V2'!N28="MC","J1 · 8h-16h · Dijon",""),IF('Roulement V2'!M29="MC","J2 · 14h-22h · Beaune",""),IF('Roulement V2'!N29="MC","J2 · 14h-22h · Dijon",""),IF('Roulement V2'!M30="MC","journée · 8h-18h30 · Beaune",""),IF('Roulement V2'!N30="MC","journée · 8h-18h30 · Dijon",""),IF('Roulement V2'!M31="MC","journée · 8h-18h30 · Beaune",""),IF('Roulement V2'!N31="MC","journée · 8h-18h30 · Dijon",""),IF('Roulement V2'!M32="MC","J5 · 12h-20h · Beaune",""),IF('Roulement V2'!N32="MC","J5 · 12h-20h · Dijon",""),IF('Roulement V2'!M33="MC","préJ2/J6 · 8h-14h · Beaune",""),IF('Roulement V2'!N33="MC","préJ2/J6 · 8h-14h · Dijon",""),IF('Roulement V2'!M34="MC","journée · 8h-18h30 · Beaune",""),IF('Roulement V2'!N34="MC","journée · 8h-18h30 · Dijon",""),IF('Roulement V2'!M35="MC","journée · 8h-18h30 · Beaune",""),IF('Roulement V2'!N35="MC","journée · 8h-18h30 · Dijon",""))</f>
      </c>
      <c r="H8" t="str" s="2" cm="1">
        <f t="array" ref="H8">_xlfn.TEXTJOIN(" + ",TRUE,IF('Roulement V2'!O28="MC","J1 · 8h-16h · Beaune",""),IF('Roulement V2'!P28="MC","J1 · 8h-16h · Dijon",""),IF('Roulement V2'!O29="MC","J2 · 14h-22h · Beaune",""),IF('Roulement V2'!P29="MC","J2 · 14h-22h · Dijon",""),IF('Roulement V2'!O30="MC","journée · 8h-18h30 · Beaune",""),IF('Roulement V2'!P30="MC","journée · 8h-18h30 · Dijon",""),IF('Roulement V2'!O31="MC","journée · 8h-18h30 · Beaune",""),IF('Roulement V2'!P31="MC","journée · 8h-18h30 · Dijon",""),IF('Roulement V2'!O32="MC","J5 · 12h-20h · Beaune",""),IF('Roulement V2'!P32="MC","J5 · 12h-20h · Dijon",""),IF('Roulement V2'!O33="MC","préJ2/J6 · 8h-14h · Beaune",""),IF('Roulement V2'!P33="MC","préJ2/J6 · 8h-14h · Dijon",""),IF('Roulement V2'!O34="MC","journée · 8h-18h30 · Beaune",""),IF('Roulement V2'!P34="MC","journée · 8h-18h30 · Dijon",""),IF('Roulement V2'!O35="MC","journée · 8h-18h30 · Beaune",""),IF('Roulement V2'!P35="MC","journée · 8h-18h30 · Dijon",""))</f>
      </c>
      <c r="I8" t="str" s="2" cm="1">
        <f t="array" ref="I8">_xlfn.TEXTJOIN(" + ",TRUE,IF('Roulement V2'!Q28="MC","J1 · 8h-16h · Beaune",""),IF('Roulement V2'!R28="MC","J1 · 8h-16h · Dijon",""),IF('Roulement V2'!Q29="MC","J2 · 14h-22h · Beaune",""),IF('Roulement V2'!R29="MC","J2 · 14h-22h · Dijon",""),IF('Roulement V2'!Q30="MC","journée · 8h-18h30 · Beaune",""),IF('Roulement V2'!R30="MC","journée · 8h-18h30 · Dijon",""),IF('Roulement V2'!Q31="MC","journée · 8h-18h30 · Beaune",""),IF('Roulement V2'!R31="MC","journée · 8h-18h30 · Dijon",""),IF('Roulement V2'!Q32="MC","J5 · 12h-20h · Beaune",""),IF('Roulement V2'!R32="MC","J5 · 12h-20h · Dijon",""),IF('Roulement V2'!Q33="MC","préJ2/J6 · 8h-14h · Beaune",""),IF('Roulement V2'!R33="MC","préJ2/J6 · 8h-14h · Dijon",""),IF('Roulement V2'!Q34="MC","journée · 8h-18h30 · Beaune",""),IF('Roulement V2'!R34="MC","journée · 8h-18h30 · Dijon",""),IF('Roulement V2'!Q35="MC","journée · 8h-18h30 · Beaune",""),IF('Roulement V2'!R35="MC","journée · 8h-18h30 · Dijon",""))</f>
      </c>
      <c r="J8" s="26"/>
      <c r="K8" s="27"/>
      <c r="L8" s="27"/>
      <c r="M8" s="27"/>
      <c r="N8" s="27"/>
      <c r="O8" s="27"/>
      <c r="P8" s="27"/>
      <c r="Q8" s="27"/>
      <c r="R8" s="28"/>
    </row>
    <row r="9" ht="13.55" customHeight="1">
      <c r="A9" t="s" s="30">
        <v>40</v>
      </c>
      <c r="B9" t="str" s="2" cm="1">
        <f t="array" ref="B9">_xlfn.TEXTJOIN(" + ",TRUE,IF('Roulement V2'!C36="MC","J1 · 8h-16h · Beaune",""),IF('Roulement V2'!D36="MC","J1 · 8h-16h · Dijon",""),IF('Roulement V2'!C37="MC","J2 · 14h-22h · Beaune",""),IF('Roulement V2'!D37="MC","J2 · 14h-22h · Dijon",""),IF('Roulement V2'!C38="MC","journée · 8h-18h30 · Beaune",""),IF('Roulement V2'!D38="MC","journée · 8h-18h30 · Dijon",""),IF('Roulement V2'!C39="MC","journée · 8h-18h30 · Beaune",""),IF('Roulement V2'!D39="MC","journée · 8h-18h30 · Dijon",""),IF('Roulement V2'!C40="MC","J5 · 12h-20h · Beaune",""),IF('Roulement V2'!D40="MC","J5 · 12h-20h · Dijon",""),IF('Roulement V2'!C41="MC","préJ2/J6 · 8h-14h · Beaune",""),IF('Roulement V2'!D41="MC","préJ2/J6 · 8h-14h · Dijon",""),IF('Roulement V2'!C42="MC","journée · 8h-18h30 · Beaune",""),IF('Roulement V2'!D42="MC","journée · 8h-18h30 · Dijon",""),IF('Roulement V2'!C43="MC","journée · 8h-18h30 · Beaune",""),IF('Roulement V2'!D43="MC","journée · 8h-18h30 · Dijon",""))</f>
        <v>journée · 8h-18h30 · Beaune</v>
      </c>
      <c r="C9" t="str" s="2" cm="1">
        <f t="array" ref="C9">_xlfn.TEXTJOIN(" + ",TRUE,IF('Roulement V2'!E36="MC","J1 · 8h-16h · Beaune",""),IF('Roulement V2'!F36="MC","J1 · 8h-16h · Dijon",""),IF('Roulement V2'!E37="MC","J2 · 14h-22h · Beaune",""),IF('Roulement V2'!F37="MC","J2 · 14h-22h · Dijon",""),IF('Roulement V2'!E38="MC","journée · 8h-18h30 · Beaune",""),IF('Roulement V2'!F38="MC","journée · 8h-18h30 · Dijon",""),IF('Roulement V2'!E39="MC","journée · 8h-18h30 · Beaune",""),IF('Roulement V2'!F39="MC","journée · 8h-18h30 · Dijon",""),IF('Roulement V2'!E40="MC","J5 · 12h-20h · Beaune",""),IF('Roulement V2'!F40="MC","J5 · 12h-20h · Dijon",""),IF('Roulement V2'!E41="MC","préJ2/J6 · 8h-14h · Beaune",""),IF('Roulement V2'!F41="MC","préJ2/J6 · 8h-14h · Dijon",""),IF('Roulement V2'!E42="MC","journée · 8h-18h30 · Beaune",""),IF('Roulement V2'!F42="MC","journée · 8h-18h30 · Dijon",""),IF('Roulement V2'!E43="MC","journée · 8h-18h30 · Beaune",""),IF('Roulement V2'!F43="MC","journée · 8h-18h30 · Dijon",""))</f>
        <v>J2 · 14h-22h · Dijon</v>
      </c>
      <c r="D9" t="str" s="2" cm="1">
        <f t="array" ref="D9">_xlfn.TEXTJOIN(" + ",TRUE,IF('Roulement V2'!G36="MC","J1 · 8h-16h · Beaune",""),IF('Roulement V2'!H36="MC","J1 · 8h-16h · Dijon",""),IF('Roulement V2'!G37="MC","J2 · 14h-22h · Beaune",""),IF('Roulement V2'!H37="MC","J2 · 14h-22h · Dijon",""),IF('Roulement V2'!G38="MC","journée · 8h-18h30 · Beaune",""),IF('Roulement V2'!H38="MC","journée · 8h-18h30 · Dijon",""),IF('Roulement V2'!G39="MC","journée · 8h-18h30 · Beaune",""),IF('Roulement V2'!H39="MC","journée · 8h-18h30 · Dijon",""),IF('Roulement V2'!G40="MC","J5 · 12h-20h · Beaune",""),IF('Roulement V2'!H40="MC","J5 · 12h-20h · Dijon",""),IF('Roulement V2'!G41="MC","préJ2/J6 · 8h-14h · Beaune",""),IF('Roulement V2'!H41="MC","préJ2/J6 · 8h-14h · Dijon",""),IF('Roulement V2'!G42="MC","journée · 8h-18h30 · Beaune",""),IF('Roulement V2'!H42="MC","journée · 8h-18h30 · Dijon",""),IF('Roulement V2'!G43="MC","journée · 8h-18h30 · Beaune",""),IF('Roulement V2'!H43="MC","journée · 8h-18h30 · Dijon",""))</f>
        <v>J2 · 14h-22h · Dijon</v>
      </c>
      <c r="E9" t="str" s="2" cm="1">
        <f t="array" ref="E9">_xlfn.TEXTJOIN(" + ",TRUE,IF('Roulement V2'!I36="MC","J1 · 8h-16h · Beaune",""),IF('Roulement V2'!J36="MC","J1 · 8h-16h · Dijon",""),IF('Roulement V2'!I37="MC","J2 · 14h-22h · Beaune",""),IF('Roulement V2'!J37="MC","J2 · 14h-22h · Dijon",""),IF('Roulement V2'!I38="MC","journée · 8h-18h30 · Beaune",""),IF('Roulement V2'!J38="MC","journée · 8h-18h30 · Dijon",""),IF('Roulement V2'!I39="MC","journée · 8h-18h30 · Beaune",""),IF('Roulement V2'!J39="MC","journée · 8h-18h30 · Dijon",""),IF('Roulement V2'!I40="MC","J5 · 12h-20h · Beaune",""),IF('Roulement V2'!J40="MC","J5 · 12h-20h · Dijon",""),IF('Roulement V2'!I41="MC","préJ2/J6 · 8h-14h · Beaune",""),IF('Roulement V2'!J41="MC","préJ2/J6 · 8h-14h · Dijon",""),IF('Roulement V2'!I42="MC","journée · 8h-18h30 · Beaune",""),IF('Roulement V2'!J42="MC","journée · 8h-18h30 · Dijon",""),IF('Roulement V2'!I43="MC","journée · 8h-18h30 · Beaune",""),IF('Roulement V2'!J43="MC","journée · 8h-18h30 · Dijon",""))</f>
        <v>journée · 8h-18h30 · Beaune</v>
      </c>
      <c r="F9" t="str" s="2" cm="1">
        <f t="array" ref="F9">_xlfn.TEXTJOIN(" + ",TRUE,IF('Roulement V2'!K36="MC","J1 · 8h-16h · Beaune",""),IF('Roulement V2'!L36="MC","J1 · 8h-16h · Dijon",""),IF('Roulement V2'!K37="MC","J2 · 14h-22h · Beaune",""),IF('Roulement V2'!L37="MC","J2 · 14h-22h · Dijon",""),IF('Roulement V2'!K38="MC","journée · 8h-18h30 · Beaune",""),IF('Roulement V2'!L38="MC","journée · 8h-18h30 · Dijon",""),IF('Roulement V2'!K39="MC","journée · 8h-18h30 · Beaune",""),IF('Roulement V2'!L39="MC","journée · 8h-18h30 · Dijon",""),IF('Roulement V2'!K40="MC","J5 · 12h-20h · Beaune",""),IF('Roulement V2'!L40="MC","J5 · 12h-20h · Dijon",""),IF('Roulement V2'!K41="MC","préJ2/J6 · 8h-14h · Beaune",""),IF('Roulement V2'!L41="MC","préJ2/J6 · 8h-14h · Dijon",""),IF('Roulement V2'!K42="MC","journée · 8h-18h30 · Beaune",""),IF('Roulement V2'!L42="MC","journée · 8h-18h30 · Dijon",""),IF('Roulement V2'!K43="MC","journée · 8h-18h30 · Beaune",""),IF('Roulement V2'!L43="MC","journée · 8h-18h30 · Dijon",""))</f>
        <v>journée · 8h-18h30 · Dijon</v>
      </c>
      <c r="G9" t="str" s="2" cm="1">
        <f t="array" ref="G9">_xlfn.TEXTJOIN(" + ",TRUE,IF('Roulement V2'!M36="MC","J1 · 8h-16h · Beaune",""),IF('Roulement V2'!N36="MC","J1 · 8h-16h · Dijon",""),IF('Roulement V2'!M37="MC","J2 · 14h-22h · Beaune",""),IF('Roulement V2'!N37="MC","J2 · 14h-22h · Dijon",""),IF('Roulement V2'!M38="MC","journée · 8h-18h30 · Beaune",""),IF('Roulement V2'!N38="MC","journée · 8h-18h30 · Dijon",""),IF('Roulement V2'!M39="MC","journée · 8h-18h30 · Beaune",""),IF('Roulement V2'!N39="MC","journée · 8h-18h30 · Dijon",""),IF('Roulement V2'!M40="MC","J5 · 12h-20h · Beaune",""),IF('Roulement V2'!N40="MC","J5 · 12h-20h · Dijon",""),IF('Roulement V2'!M41="MC","préJ2/J6 · 8h-14h · Beaune",""),IF('Roulement V2'!N41="MC","préJ2/J6 · 8h-14h · Dijon",""),IF('Roulement V2'!M42="MC","journée · 8h-18h30 · Beaune",""),IF('Roulement V2'!N42="MC","journée · 8h-18h30 · Dijon",""),IF('Roulement V2'!M43="MC","journée · 8h-18h30 · Beaune",""),IF('Roulement V2'!N43="MC","journée · 8h-18h30 · Dijon",""))</f>
        <v>J2 · 14h-22h · Beaune</v>
      </c>
      <c r="H9" t="str" s="2" cm="1">
        <f t="array" ref="H9">_xlfn.TEXTJOIN(" + ",TRUE,IF('Roulement V2'!O36="MC","J1 · 8h-16h · Beaune",""),IF('Roulement V2'!P36="MC","J1 · 8h-16h · Dijon",""),IF('Roulement V2'!O37="MC","J2 · 14h-22h · Beaune",""),IF('Roulement V2'!P37="MC","J2 · 14h-22h · Dijon",""),IF('Roulement V2'!O38="MC","journée · 8h-18h30 · Beaune",""),IF('Roulement V2'!P38="MC","journée · 8h-18h30 · Dijon",""),IF('Roulement V2'!O39="MC","journée · 8h-18h30 · Beaune",""),IF('Roulement V2'!P39="MC","journée · 8h-18h30 · Dijon",""),IF('Roulement V2'!O40="MC","J5 · 12h-20h · Beaune",""),IF('Roulement V2'!P40="MC","J5 · 12h-20h · Dijon",""),IF('Roulement V2'!O41="MC","préJ2/J6 · 8h-14h · Beaune",""),IF('Roulement V2'!P41="MC","préJ2/J6 · 8h-14h · Dijon",""),IF('Roulement V2'!O42="MC","journée · 8h-18h30 · Beaune",""),IF('Roulement V2'!P42="MC","journée · 8h-18h30 · Dijon",""),IF('Roulement V2'!O43="MC","journée · 8h-18h30 · Beaune",""),IF('Roulement V2'!P43="MC","journée · 8h-18h30 · Dijon",""))</f>
        <v>journée · 8h-18h30 · Beaune</v>
      </c>
      <c r="I9" t="str" s="2" cm="1">
        <f t="array" ref="I9">_xlfn.TEXTJOIN(" + ",TRUE,IF('Roulement V2'!Q36="MC","J1 · 8h-16h · Beaune",""),IF('Roulement V2'!R36="MC","J1 · 8h-16h · Dijon",""),IF('Roulement V2'!Q37="MC","J2 · 14h-22h · Beaune",""),IF('Roulement V2'!R37="MC","J2 · 14h-22h · Dijon",""),IF('Roulement V2'!Q38="MC","journée · 8h-18h30 · Beaune",""),IF('Roulement V2'!R38="MC","journée · 8h-18h30 · Dijon",""),IF('Roulement V2'!Q39="MC","journée · 8h-18h30 · Beaune",""),IF('Roulement V2'!R39="MC","journée · 8h-18h30 · Dijon",""),IF('Roulement V2'!Q40="MC","J5 · 12h-20h · Beaune",""),IF('Roulement V2'!R40="MC","J5 · 12h-20h · Dijon",""),IF('Roulement V2'!Q41="MC","préJ2/J6 · 8h-14h · Beaune",""),IF('Roulement V2'!R41="MC","préJ2/J6 · 8h-14h · Dijon",""),IF('Roulement V2'!Q42="MC","journée · 8h-18h30 · Beaune",""),IF('Roulement V2'!R42="MC","journée · 8h-18h30 · Dijon",""),IF('Roulement V2'!Q43="MC","journée · 8h-18h30 · Beaune",""),IF('Roulement V2'!R43="MC","journée · 8h-18h30 · Dijon",""))</f>
        <v>journée · 8h-18h30 · Dijon</v>
      </c>
      <c r="J9" s="26"/>
      <c r="K9" s="27"/>
      <c r="L9" s="27"/>
      <c r="M9" s="27"/>
      <c r="N9" s="27"/>
      <c r="O9" s="27"/>
      <c r="P9" s="27"/>
      <c r="Q9" s="27"/>
      <c r="R9" s="28"/>
    </row>
    <row r="10" ht="13.55" customHeight="1">
      <c r="A10" t="s" s="30">
        <v>41</v>
      </c>
      <c r="B10" t="str" s="2" cm="1">
        <f t="array" ref="B10">_xlfn.TEXTJOIN(" + ",TRUE,IF('Roulement V2'!C44="MC","Garde · Beaune",""),IF('Roulement V2'!D44="MC","Garde · Dijon",""),IF('Roulement V2'!C45="MC","Doublon · Beaune",""),IF('Roulement V2'!D45="MC","Doublon · Dijon",""))</f>
      </c>
      <c r="C10" t="str" s="2" cm="1">
        <f t="array" ref="C10">_xlfn.TEXTJOIN(" + ",TRUE,IF('Roulement V2'!E44="MC","Garde · Beaune",""),IF('Roulement V2'!F44="MC","Garde · Dijon",""),IF('Roulement V2'!E45="MC","Doublon · Beaune",""),IF('Roulement V2'!F45="MC","Doublon · Dijon",""))</f>
        <v>Garde · Dijon</v>
      </c>
      <c r="D10" t="str" s="2" cm="1">
        <f t="array" ref="D10">_xlfn.TEXTJOIN(" + ",TRUE,IF('Roulement V2'!G44="MC","Garde · Beaune",""),IF('Roulement V2'!H44="MC","Garde · Dijon",""),IF('Roulement V2'!G45="MC","Doublon · Beaune",""),IF('Roulement V2'!H45="MC","Doublon · Dijon",""))</f>
      </c>
      <c r="E10" t="str" s="2" cm="1">
        <f t="array" ref="E10">_xlfn.TEXTJOIN(" + ",TRUE,IF('Roulement V2'!I44="MC","Garde · Beaune",""),IF('Roulement V2'!J44="MC","Garde · Dijon",""),IF('Roulement V2'!I45="MC","Doublon · Beaune",""),IF('Roulement V2'!J45="MC","Doublon · Dijon",""))</f>
      </c>
      <c r="F10" t="str" s="2" cm="1">
        <f t="array" ref="F10">_xlfn.TEXTJOIN(" + ",TRUE,IF('Roulement V2'!K44="MC","Garde · Beaune",""),IF('Roulement V2'!L44="MC","Garde · Dijon",""),IF('Roulement V2'!K45="MC","Doublon · Beaune",""),IF('Roulement V2'!L45="MC","Doublon · Dijon",""))</f>
      </c>
      <c r="G10" t="str" s="2" cm="1">
        <f t="array" ref="G10">_xlfn.TEXTJOIN(" + ",TRUE,IF('Roulement V2'!M44="MC","Garde · Beaune",""),IF('Roulement V2'!N44="MC","Garde · Dijon",""),IF('Roulement V2'!M45="MC","Doublon · Beaune",""),IF('Roulement V2'!N45="MC","Doublon · Dijon",""))</f>
        <v>Garde · Beaune</v>
      </c>
      <c r="H10" t="str" s="2" cm="1">
        <f t="array" ref="H10">_xlfn.TEXTJOIN(" + ",TRUE,IF('Roulement V2'!O44="MC","Garde · Beaune",""),IF('Roulement V2'!P44="MC","Garde · Dijon",""),IF('Roulement V2'!O45="MC","Doublon · Beaune",""),IF('Roulement V2'!P45="MC","Doublon · Dijon",""))</f>
      </c>
      <c r="I10" t="str" s="2" cm="1">
        <f t="array" ref="I10">_xlfn.TEXTJOIN(" + ",TRUE,IF('Roulement V2'!Q44="MC","Garde · Beaune",""),IF('Roulement V2'!R44="MC","Garde · Dijon",""),IF('Roulement V2'!Q45="MC","Doublon · Beaune",""),IF('Roulement V2'!R45="MC","Doublon · Dijon",""))</f>
      </c>
      <c r="J10" s="26"/>
      <c r="K10" s="27"/>
      <c r="L10" s="27"/>
      <c r="M10" s="27"/>
      <c r="N10" s="27"/>
      <c r="O10" s="27"/>
      <c r="P10" s="27"/>
      <c r="Q10" s="27"/>
      <c r="R10" s="28"/>
    </row>
    <row r="11" ht="13.55" customHeight="1">
      <c r="A11" t="s" s="30">
        <v>44</v>
      </c>
      <c r="B11" t="str" s="2" cm="1">
        <f t="array" ref="B11">_xlfn.TEXTJOIN(" + ",TRUE,IF('Roulement V2'!C46="MC","Garde · Beaune",""),IF('Roulement V2'!D46="MC","Garde · Dijon",""),IF('Roulement V2'!C47="MC","Doublon · Beaune",""),IF('Roulement V2'!D47="MC","Doublon · Dijon",""))</f>
      </c>
      <c r="C11" t="str" s="2" cm="1">
        <f t="array" ref="C11">_xlfn.TEXTJOIN(" + ",TRUE,IF('Roulement V2'!E46="MC","Garde · Beaune",""),IF('Roulement V2'!F46="MC","Garde · Dijon",""),IF('Roulement V2'!E47="MC","Doublon · Beaune",""),IF('Roulement V2'!F47="MC","Doublon · Dijon",""))</f>
        <v>Garde · Dijon</v>
      </c>
      <c r="D11" t="str" s="2" cm="1">
        <f t="array" ref="D11">_xlfn.TEXTJOIN(" + ",TRUE,IF('Roulement V2'!G46="MC","Garde · Beaune",""),IF('Roulement V2'!H46="MC","Garde · Dijon",""),IF('Roulement V2'!G47="MC","Doublon · Beaune",""),IF('Roulement V2'!H47="MC","Doublon · Dijon",""))</f>
      </c>
      <c r="E11" t="str" s="2" cm="1">
        <f t="array" ref="E11">_xlfn.TEXTJOIN(" + ",TRUE,IF('Roulement V2'!I46="MC","Garde · Beaune",""),IF('Roulement V2'!J46="MC","Garde · Dijon",""),IF('Roulement V2'!I47="MC","Doublon · Beaune",""),IF('Roulement V2'!J47="MC","Doublon · Dijon",""))</f>
      </c>
      <c r="F11" t="str" s="2" cm="1">
        <f t="array" ref="F11">_xlfn.TEXTJOIN(" + ",TRUE,IF('Roulement V2'!K46="MC","Garde · Beaune",""),IF('Roulement V2'!L46="MC","Garde · Dijon",""),IF('Roulement V2'!K47="MC","Doublon · Beaune",""),IF('Roulement V2'!L47="MC","Doublon · Dijon",""))</f>
      </c>
      <c r="G11" t="str" s="2" cm="1">
        <f t="array" ref="G11">_xlfn.TEXTJOIN(" + ",TRUE,IF('Roulement V2'!M46="MC","Garde · Beaune",""),IF('Roulement V2'!N46="MC","Garde · Dijon",""),IF('Roulement V2'!M47="MC","Doublon · Beaune",""),IF('Roulement V2'!N47="MC","Doublon · Dijon",""))</f>
        <v>Garde · Beaune</v>
      </c>
      <c r="H11" t="str" s="2" cm="1">
        <f t="array" ref="H11">_xlfn.TEXTJOIN(" + ",TRUE,IF('Roulement V2'!O46="MC","Garde · Beaune",""),IF('Roulement V2'!P46="MC","Garde · Dijon",""),IF('Roulement V2'!O47="MC","Doublon · Beaune",""),IF('Roulement V2'!P47="MC","Doublon · Dijon",""))</f>
      </c>
      <c r="I11" t="str" s="2" cm="1">
        <f t="array" ref="I11">_xlfn.TEXTJOIN(" + ",TRUE,IF('Roulement V2'!Q46="MC","Garde · Beaune",""),IF('Roulement V2'!R46="MC","Garde · Dijon",""),IF('Roulement V2'!Q47="MC","Doublon · Beaune",""),IF('Roulement V2'!R47="MC","Doublon · Dijon",""))</f>
      </c>
      <c r="J11" s="26"/>
      <c r="K11" s="27"/>
      <c r="L11" s="27"/>
      <c r="M11" s="27"/>
      <c r="N11" s="27"/>
      <c r="O11" s="27"/>
      <c r="P11" s="27"/>
      <c r="Q11" s="27"/>
      <c r="R11" s="28"/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  <c r="J12" s="26"/>
      <c r="K12" s="27"/>
      <c r="L12" s="27"/>
      <c r="M12" s="27"/>
      <c r="N12" s="27"/>
      <c r="O12" s="27"/>
      <c r="P12" s="27"/>
      <c r="Q12" s="27"/>
      <c r="R12" s="28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  <c r="J13" s="26"/>
      <c r="K13" s="27"/>
      <c r="L13" s="27"/>
      <c r="M13" s="27"/>
      <c r="N13" s="27"/>
      <c r="O13" s="27"/>
      <c r="P13" s="27"/>
      <c r="Q13" s="27"/>
      <c r="R13" s="28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  <c r="J14" s="26"/>
      <c r="K14" s="27"/>
      <c r="L14" s="27"/>
      <c r="M14" s="27"/>
      <c r="N14" s="27"/>
      <c r="O14" s="27"/>
      <c r="P14" s="27"/>
      <c r="Q14" s="27"/>
      <c r="R14" s="28"/>
    </row>
    <row r="15" ht="13.55" customHeight="1">
      <c r="A15" t="s" s="30">
        <v>63</v>
      </c>
      <c r="B15" s="31" cm="1">
        <f t="array" ref="B15">COUNTIF(B5:I9,"*J1 · 8h-16h*")</f>
        <v>4</v>
      </c>
      <c r="C15" s="2"/>
      <c r="D15" t="s" s="30">
        <v>64</v>
      </c>
      <c r="E15" s="31" cm="1">
        <f t="array" ref="E15">COUNTIF(B5:I9,"*Beaune*")</f>
        <v>14</v>
      </c>
      <c r="F15" s="2"/>
      <c r="G15" s="2"/>
      <c r="H15" s="2"/>
      <c r="I15" s="2"/>
      <c r="J15" s="26"/>
      <c r="K15" s="27"/>
      <c r="L15" s="27"/>
      <c r="M15" s="27"/>
      <c r="N15" s="27"/>
      <c r="O15" s="27"/>
      <c r="P15" s="27"/>
      <c r="Q15" s="27"/>
      <c r="R15" s="28"/>
    </row>
    <row r="16" ht="13.55" customHeight="1">
      <c r="A16" t="s" s="30">
        <v>65</v>
      </c>
      <c r="B16" s="31" cm="1">
        <f t="array" ref="B16">COUNTIF(B5:I9,"*J2 · 14h-22h*")</f>
        <v>10</v>
      </c>
      <c r="C16" s="2"/>
      <c r="D16" t="s" s="30">
        <v>66</v>
      </c>
      <c r="E16" s="31" cm="1">
        <f t="array" ref="E16">COUNTIF(B5:I9,"*Dijon*")</f>
        <v>10</v>
      </c>
      <c r="F16" s="2"/>
      <c r="G16" s="2"/>
      <c r="H16" s="2"/>
      <c r="I16" s="2"/>
      <c r="J16" s="26"/>
      <c r="K16" s="27"/>
      <c r="L16" s="27"/>
      <c r="M16" s="27"/>
      <c r="N16" s="27"/>
      <c r="O16" s="27"/>
      <c r="P16" s="27"/>
      <c r="Q16" s="27"/>
      <c r="R16" s="28"/>
    </row>
    <row r="17" ht="13.55" customHeight="1">
      <c r="A17" t="s" s="30">
        <v>67</v>
      </c>
      <c r="B17" s="31" cm="1">
        <f t="array" ref="B17">COUNTIF(B5:I9,"*journée · 8h-18h30*")</f>
        <v>10</v>
      </c>
      <c r="C17" s="2"/>
      <c r="D17" s="2"/>
      <c r="E17" s="2"/>
      <c r="F17" s="2"/>
      <c r="G17" s="2"/>
      <c r="H17" s="2"/>
      <c r="I17" s="2"/>
      <c r="J17" s="26"/>
      <c r="K17" s="27"/>
      <c r="L17" s="27"/>
      <c r="M17" s="27"/>
      <c r="N17" s="27"/>
      <c r="O17" s="27"/>
      <c r="P17" s="27"/>
      <c r="Q17" s="27"/>
      <c r="R17" s="28"/>
    </row>
    <row r="18" ht="13.55" customHeight="1">
      <c r="A18" t="s" s="30">
        <v>68</v>
      </c>
      <c r="B18" s="31" cm="1">
        <f t="array" ref="B18">COUNTIF(B5:I9,"?*")</f>
        <v>24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  <c r="J18" s="26"/>
      <c r="K18" s="27"/>
      <c r="L18" s="27"/>
      <c r="M18" s="27"/>
      <c r="N18" s="27"/>
      <c r="O18" s="27"/>
      <c r="P18" s="27"/>
      <c r="Q18" s="27"/>
      <c r="R18" s="28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  <c r="J19" s="26"/>
      <c r="K19" s="27"/>
      <c r="L19" s="27"/>
      <c r="M19" s="27"/>
      <c r="N19" s="27"/>
      <c r="O19" s="27"/>
      <c r="P19" s="27"/>
      <c r="Q19" s="27"/>
      <c r="R19" s="28"/>
    </row>
    <row r="20" ht="13.55" customHeight="1">
      <c r="A20" s="22"/>
      <c r="B20" s="23"/>
      <c r="C20" s="23"/>
      <c r="D20" s="23"/>
      <c r="E20" s="23"/>
      <c r="F20" s="23"/>
      <c r="G20" s="23"/>
      <c r="H20" s="23"/>
      <c r="I20" s="23"/>
      <c r="J20" s="27"/>
      <c r="K20" s="27"/>
      <c r="L20" s="27"/>
      <c r="M20" s="27"/>
      <c r="N20" s="27"/>
      <c r="O20" s="27"/>
      <c r="P20" s="27"/>
      <c r="Q20" s="27"/>
      <c r="R20" s="28"/>
    </row>
    <row r="21" ht="13.55" customHeight="1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8"/>
    </row>
    <row r="22" ht="13.55" customHeight="1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8"/>
    </row>
    <row r="23" ht="13.55" customHeight="1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8"/>
    </row>
    <row r="24" ht="13.55" customHeight="1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8"/>
    </row>
    <row r="25" ht="13.55" customHeight="1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8"/>
    </row>
    <row r="26" ht="13.55" customHeight="1">
      <c r="A26" s="26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8"/>
    </row>
    <row r="27" ht="13.55" customHeight="1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8"/>
    </row>
    <row r="28" ht="13.55" customHeight="1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8"/>
    </row>
    <row r="29" ht="13.55" customHeight="1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8"/>
    </row>
    <row r="30" ht="13.55" customHeight="1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8"/>
    </row>
    <row r="31" ht="13.55" customHeight="1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8"/>
    </row>
    <row r="32" ht="13.55" customHeight="1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8"/>
    </row>
    <row r="33" ht="13.55" customHeight="1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8"/>
    </row>
    <row r="34" ht="13.55" customHeight="1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8"/>
    </row>
    <row r="35" ht="13.55" customHeight="1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8"/>
    </row>
    <row r="36" ht="13.55" customHeight="1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8"/>
    </row>
    <row r="37" ht="13.55" customHeight="1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8"/>
    </row>
    <row r="38" ht="13.55" customHeight="1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8"/>
    </row>
    <row r="39" ht="13.55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8"/>
    </row>
    <row r="40" ht="13.55" customHeight="1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8"/>
    </row>
    <row r="41" ht="13.55" customHeight="1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8"/>
    </row>
    <row r="42" ht="13.55" customHeight="1">
      <c r="A42" s="26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8"/>
    </row>
    <row r="43" ht="13.55" customHeight="1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8"/>
    </row>
    <row r="44" ht="13.55" customHeight="1">
      <c r="A44" s="26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8"/>
    </row>
    <row r="45" ht="13.55" customHeight="1">
      <c r="A45" s="26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8"/>
    </row>
    <row r="46" ht="13.55" customHeight="1">
      <c r="A46" s="26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8"/>
    </row>
    <row r="47" ht="13.55" customHeight="1">
      <c r="A47" s="32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4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35" customWidth="1"/>
    <col min="2" max="9" width="18" style="35" customWidth="1"/>
    <col min="10" max="16384" width="6.67188" style="35" customWidth="1"/>
  </cols>
  <sheetData>
    <row r="1" ht="15.35" customHeight="1">
      <c r="A1" t="s" s="21">
        <v>71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V2'!C4="CC","J1 · 8h-16h · Beaune",""),IF('Roulement V2'!D4="CC","J1 · 8h-16h · Dijon",""),IF('Roulement V2'!C5="CC","J2 · 14h-22h · Beaune",""),IF('Roulement V2'!D5="CC","J2 · 14h-22h · Dijon",""),IF('Roulement V2'!C6="CC","journée · 8h-18h30 · Beaune",""),IF('Roulement V2'!D6="CC","journée · 8h-18h30 · Dijon",""),IF('Roulement V2'!C7="CC","journée · 8h-18h30 · Beaune",""),IF('Roulement V2'!D7="CC","journée · 8h-18h30 · Dijon",""),IF('Roulement V2'!C8="CC","J5 · 12h-20h · Beaune",""),IF('Roulement V2'!D8="CC","J5 · 12h-20h · Dijon",""),IF('Roulement V2'!C9="CC","préJ2/J6 · 8h-14h · Beaune",""),IF('Roulement V2'!D9="CC","préJ2/J6 · 8h-14h · Dijon",""),IF('Roulement V2'!C10="CC","journée · 8h-18h30 · Beaune",""),IF('Roulement V2'!D10="CC","journée · 8h-18h30 · Dijon",""),IF('Roulement V2'!C11="CC","journée · 8h-18h30 · Beaune",""),IF('Roulement V2'!D11="CC","journée · 8h-18h30 · Dijon",""))</f>
        <v>journée · 8h-18h30 · Dijon</v>
      </c>
      <c r="C5" t="str" s="2" cm="1">
        <f t="array" ref="C5">_xlfn.TEXTJOIN(" + ",TRUE,IF('Roulement V2'!E4="CC","J1 · 8h-16h · Beaune",""),IF('Roulement V2'!F4="CC","J1 · 8h-16h · Dijon",""),IF('Roulement V2'!E5="CC","J2 · 14h-22h · Beaune",""),IF('Roulement V2'!F5="CC","J2 · 14h-22h · Dijon",""),IF('Roulement V2'!E6="CC","journée · 8h-18h30 · Beaune",""),IF('Roulement V2'!F6="CC","journée · 8h-18h30 · Dijon",""),IF('Roulement V2'!E7="CC","journée · 8h-18h30 · Beaune",""),IF('Roulement V2'!F7="CC","journée · 8h-18h30 · Dijon",""),IF('Roulement V2'!E8="CC","J5 · 12h-20h · Beaune",""),IF('Roulement V2'!F8="CC","J5 · 12h-20h · Dijon",""),IF('Roulement V2'!E9="CC","préJ2/J6 · 8h-14h · Beaune",""),IF('Roulement V2'!F9="CC","préJ2/J6 · 8h-14h · Dijon",""),IF('Roulement V2'!E10="CC","journée · 8h-18h30 · Beaune",""),IF('Roulement V2'!F10="CC","journée · 8h-18h30 · Dijon",""),IF('Roulement V2'!E11="CC","journée · 8h-18h30 · Beaune",""),IF('Roulement V2'!F11="CC","journée · 8h-18h30 · Dijon",""))</f>
        <v>J2 · 14h-22h · Dijon</v>
      </c>
      <c r="D5" t="str" s="2" cm="1">
        <f t="array" ref="D5">_xlfn.TEXTJOIN(" + ",TRUE,IF('Roulement V2'!G4="CC","J1 · 8h-16h · Beaune",""),IF('Roulement V2'!H4="CC","J1 · 8h-16h · Dijon",""),IF('Roulement V2'!G5="CC","J2 · 14h-22h · Beaune",""),IF('Roulement V2'!H5="CC","J2 · 14h-22h · Dijon",""),IF('Roulement V2'!G6="CC","journée · 8h-18h30 · Beaune",""),IF('Roulement V2'!H6="CC","journée · 8h-18h30 · Dijon",""),IF('Roulement V2'!G7="CC","journée · 8h-18h30 · Beaune",""),IF('Roulement V2'!H7="CC","journée · 8h-18h30 · Dijon",""),IF('Roulement V2'!G8="CC","J5 · 12h-20h · Beaune",""),IF('Roulement V2'!H8="CC","J5 · 12h-20h · Dijon",""),IF('Roulement V2'!G9="CC","préJ2/J6 · 8h-14h · Beaune",""),IF('Roulement V2'!H9="CC","préJ2/J6 · 8h-14h · Dijon",""),IF('Roulement V2'!G10="CC","journée · 8h-18h30 · Beaune",""),IF('Roulement V2'!H10="CC","journée · 8h-18h30 · Dijon",""),IF('Roulement V2'!G11="CC","journée · 8h-18h30 · Beaune",""),IF('Roulement V2'!H11="CC","journée · 8h-18h30 · Dijon",""))</f>
      </c>
      <c r="E5" t="str" s="2" cm="1">
        <f t="array" ref="E5">_xlfn.TEXTJOIN(" + ",TRUE,IF('Roulement V2'!I4="CC","J1 · 8h-16h · Beaune",""),IF('Roulement V2'!J4="CC","J1 · 8h-16h · Dijon",""),IF('Roulement V2'!I5="CC","J2 · 14h-22h · Beaune",""),IF('Roulement V2'!J5="CC","J2 · 14h-22h · Dijon",""),IF('Roulement V2'!I6="CC","journée · 8h-18h30 · Beaune",""),IF('Roulement V2'!J6="CC","journée · 8h-18h30 · Dijon",""),IF('Roulement V2'!I7="CC","journée · 8h-18h30 · Beaune",""),IF('Roulement V2'!J7="CC","journée · 8h-18h30 · Dijon",""),IF('Roulement V2'!I8="CC","J5 · 12h-20h · Beaune",""),IF('Roulement V2'!J8="CC","J5 · 12h-20h · Dijon",""),IF('Roulement V2'!I9="CC","préJ2/J6 · 8h-14h · Beaune",""),IF('Roulement V2'!J9="CC","préJ2/J6 · 8h-14h · Dijon",""),IF('Roulement V2'!I10="CC","journée · 8h-18h30 · Beaune",""),IF('Roulement V2'!J10="CC","journée · 8h-18h30 · Dijon",""),IF('Roulement V2'!I11="CC","journée · 8h-18h30 · Beaune",""),IF('Roulement V2'!J11="CC","journée · 8h-18h30 · Dijon",""))</f>
        <v>journée · 8h-18h30 · Dijon</v>
      </c>
      <c r="F5" t="str" s="2" cm="1">
        <f t="array" ref="F5">_xlfn.TEXTJOIN(" + ",TRUE,IF('Roulement V2'!K4="CC","J1 · 8h-16h · Beaune",""),IF('Roulement V2'!L4="CC","J1 · 8h-16h · Dijon",""),IF('Roulement V2'!K5="CC","J2 · 14h-22h · Beaune",""),IF('Roulement V2'!L5="CC","J2 · 14h-22h · Dijon",""),IF('Roulement V2'!K6="CC","journée · 8h-18h30 · Beaune",""),IF('Roulement V2'!L6="CC","journée · 8h-18h30 · Dijon",""),IF('Roulement V2'!K7="CC","journée · 8h-18h30 · Beaune",""),IF('Roulement V2'!L7="CC","journée · 8h-18h30 · Dijon",""),IF('Roulement V2'!K8="CC","J5 · 12h-20h · Beaune",""),IF('Roulement V2'!L8="CC","J5 · 12h-20h · Dijon",""),IF('Roulement V2'!K9="CC","préJ2/J6 · 8h-14h · Beaune",""),IF('Roulement V2'!L9="CC","préJ2/J6 · 8h-14h · Dijon",""),IF('Roulement V2'!K10="CC","journée · 8h-18h30 · Beaune",""),IF('Roulement V2'!L10="CC","journée · 8h-18h30 · Dijon",""),IF('Roulement V2'!K11="CC","journée · 8h-18h30 · Beaune",""),IF('Roulement V2'!L11="CC","journée · 8h-18h30 · Dijon",""))</f>
        <v>journée · 8h-18h30 · Dijon</v>
      </c>
      <c r="G5" t="str" s="2" cm="1">
        <f t="array" ref="G5">_xlfn.TEXTJOIN(" + ",TRUE,IF('Roulement V2'!M4="CC","J1 · 8h-16h · Beaune",""),IF('Roulement V2'!N4="CC","J1 · 8h-16h · Dijon",""),IF('Roulement V2'!M5="CC","J2 · 14h-22h · Beaune",""),IF('Roulement V2'!N5="CC","J2 · 14h-22h · Dijon",""),IF('Roulement V2'!M6="CC","journée · 8h-18h30 · Beaune",""),IF('Roulement V2'!N6="CC","journée · 8h-18h30 · Dijon",""),IF('Roulement V2'!M7="CC","journée · 8h-18h30 · Beaune",""),IF('Roulement V2'!N7="CC","journée · 8h-18h30 · Dijon",""),IF('Roulement V2'!M8="CC","J5 · 12h-20h · Beaune",""),IF('Roulement V2'!N8="CC","J5 · 12h-20h · Dijon",""),IF('Roulement V2'!M9="CC","préJ2/J6 · 8h-14h · Beaune",""),IF('Roulement V2'!N9="CC","préJ2/J6 · 8h-14h · Dijon",""),IF('Roulement V2'!M10="CC","journée · 8h-18h30 · Beaune",""),IF('Roulement V2'!N10="CC","journée · 8h-18h30 · Dijon",""),IF('Roulement V2'!M11="CC","journée · 8h-18h30 · Beaune",""),IF('Roulement V2'!N11="CC","journée · 8h-18h30 · Dijon",""))</f>
        <v>J2 · 14h-22h · Beaune</v>
      </c>
      <c r="H5" t="str" s="2" cm="1">
        <f t="array" ref="H5">_xlfn.TEXTJOIN(" + ",TRUE,IF('Roulement V2'!O4="CC","J1 · 8h-16h · Beaune",""),IF('Roulement V2'!P4="CC","J1 · 8h-16h · Dijon",""),IF('Roulement V2'!O5="CC","J2 · 14h-22h · Beaune",""),IF('Roulement V2'!P5="CC","J2 · 14h-22h · Dijon",""),IF('Roulement V2'!O6="CC","journée · 8h-18h30 · Beaune",""),IF('Roulement V2'!P6="CC","journée · 8h-18h30 · Dijon",""),IF('Roulement V2'!O7="CC","journée · 8h-18h30 · Beaune",""),IF('Roulement V2'!P7="CC","journée · 8h-18h30 · Dijon",""),IF('Roulement V2'!O8="CC","J5 · 12h-20h · Beaune",""),IF('Roulement V2'!P8="CC","J5 · 12h-20h · Dijon",""),IF('Roulement V2'!O9="CC","préJ2/J6 · 8h-14h · Beaune",""),IF('Roulement V2'!P9="CC","préJ2/J6 · 8h-14h · Dijon",""),IF('Roulement V2'!O10="CC","journée · 8h-18h30 · Beaune",""),IF('Roulement V2'!P10="CC","journée · 8h-18h30 · Dijon",""),IF('Roulement V2'!O11="CC","journée · 8h-18h30 · Beaune",""),IF('Roulement V2'!P11="CC","journée · 8h-18h30 · Dijon",""))</f>
      </c>
      <c r="I5" t="str" s="2" cm="1">
        <f t="array" ref="I5">_xlfn.TEXTJOIN(" + ",TRUE,IF('Roulement V2'!Q4="CC","J1 · 8h-16h · Beaune",""),IF('Roulement V2'!R4="CC","J1 · 8h-16h · Dijon",""),IF('Roulement V2'!Q5="CC","J2 · 14h-22h · Beaune",""),IF('Roulement V2'!R5="CC","J2 · 14h-22h · Dijon",""),IF('Roulement V2'!Q6="CC","journée · 8h-18h30 · Beaune",""),IF('Roulement V2'!R6="CC","journée · 8h-18h30 · Dijon",""),IF('Roulement V2'!Q7="CC","journée · 8h-18h30 · Beaune",""),IF('Roulement V2'!R7="CC","journée · 8h-18h30 · Dijon",""),IF('Roulement V2'!Q8="CC","J5 · 12h-20h · Beaune",""),IF('Roulement V2'!R8="CC","J5 · 12h-20h · Dijon",""),IF('Roulement V2'!Q9="CC","préJ2/J6 · 8h-14h · Beaune",""),IF('Roulement V2'!R9="CC","préJ2/J6 · 8h-14h · Dijon",""),IF('Roulement V2'!Q10="CC","journée · 8h-18h30 · Beaune",""),IF('Roulement V2'!R10="CC","journée · 8h-18h30 · Dijon",""),IF('Roulement V2'!Q11="CC","journée · 8h-18h30 · Beaune",""),IF('Roulement V2'!R11="CC","journée · 8h-18h30 · Dijon",""))</f>
        <v>J1 · 8h-16h · Beaune</v>
      </c>
    </row>
    <row r="6" ht="13.55" customHeight="1">
      <c r="A6" t="s" s="30">
        <v>37</v>
      </c>
      <c r="B6" t="str" s="2" cm="1">
        <f t="array" ref="B6">_xlfn.TEXTJOIN(" + ",TRUE,IF('Roulement V2'!C12="CC","J1 · 8h-16h · Beaune",""),IF('Roulement V2'!D12="CC","J1 · 8h-16h · Dijon",""),IF('Roulement V2'!C13="CC","J2 · 14h-22h · Beaune",""),IF('Roulement V2'!D13="CC","J2 · 14h-22h · Dijon",""),IF('Roulement V2'!C14="CC","journée · 8h-18h30 · Beaune",""),IF('Roulement V2'!D14="CC","journée · 8h-18h30 · Dijon",""),IF('Roulement V2'!C15="CC","journée · 8h-18h30 · Beaune",""),IF('Roulement V2'!D15="CC","journée · 8h-18h30 · Dijon",""),IF('Roulement V2'!C16="CC","J5 · 12h-20h · Beaune",""),IF('Roulement V2'!D16="CC","J5 · 12h-20h · Dijon",""),IF('Roulement V2'!C17="CC","préJ2/J6 · 8h-14h · Beaune",""),IF('Roulement V2'!D17="CC","préJ2/J6 · 8h-14h · Dijon",""),IF('Roulement V2'!C18="CC","journée · 8h-18h30 · Beaune",""),IF('Roulement V2'!D18="CC","journée · 8h-18h30 · Dijon",""),IF('Roulement V2'!C19="CC","journée · 8h-18h30 · Beaune",""),IF('Roulement V2'!D19="CC","journée · 8h-18h30 · Dijon",""))</f>
      </c>
      <c r="C6" t="str" s="2" cm="1">
        <f t="array" ref="C6">_xlfn.TEXTJOIN(" + ",TRUE,IF('Roulement V2'!E12="CC","J1 · 8h-16h · Beaune",""),IF('Roulement V2'!F12="CC","J1 · 8h-16h · Dijon",""),IF('Roulement V2'!E13="CC","J2 · 14h-22h · Beaune",""),IF('Roulement V2'!F13="CC","J2 · 14h-22h · Dijon",""),IF('Roulement V2'!E14="CC","journée · 8h-18h30 · Beaune",""),IF('Roulement V2'!F14="CC","journée · 8h-18h30 · Dijon",""),IF('Roulement V2'!E15="CC","journée · 8h-18h30 · Beaune",""),IF('Roulement V2'!F15="CC","journée · 8h-18h30 · Dijon",""),IF('Roulement V2'!E16="CC","J5 · 12h-20h · Beaune",""),IF('Roulement V2'!F16="CC","J5 · 12h-20h · Dijon",""),IF('Roulement V2'!E17="CC","préJ2/J6 · 8h-14h · Beaune",""),IF('Roulement V2'!F17="CC","préJ2/J6 · 8h-14h · Dijon",""),IF('Roulement V2'!E18="CC","journée · 8h-18h30 · Beaune",""),IF('Roulement V2'!F18="CC","journée · 8h-18h30 · Dijon",""),IF('Roulement V2'!E19="CC","journée · 8h-18h30 · Beaune",""),IF('Roulement V2'!F19="CC","journée · 8h-18h30 · Dijon",""))</f>
        <v>journée · 8h-18h30 · Beaune</v>
      </c>
      <c r="D6" t="str" s="2" cm="1">
        <f t="array" ref="D6">_xlfn.TEXTJOIN(" + ",TRUE,IF('Roulement V2'!G12="CC","J1 · 8h-16h · Beaune",""),IF('Roulement V2'!H12="CC","J1 · 8h-16h · Dijon",""),IF('Roulement V2'!G13="CC","J2 · 14h-22h · Beaune",""),IF('Roulement V2'!H13="CC","J2 · 14h-22h · Dijon",""),IF('Roulement V2'!G14="CC","journée · 8h-18h30 · Beaune",""),IF('Roulement V2'!H14="CC","journée · 8h-18h30 · Dijon",""),IF('Roulement V2'!G15="CC","journée · 8h-18h30 · Beaune",""),IF('Roulement V2'!H15="CC","journée · 8h-18h30 · Dijon",""),IF('Roulement V2'!G16="CC","J5 · 12h-20h · Beaune",""),IF('Roulement V2'!H16="CC","J5 · 12h-20h · Dijon",""),IF('Roulement V2'!G17="CC","préJ2/J6 · 8h-14h · Beaune",""),IF('Roulement V2'!H17="CC","préJ2/J6 · 8h-14h · Dijon",""),IF('Roulement V2'!G18="CC","journée · 8h-18h30 · Beaune",""),IF('Roulement V2'!H18="CC","journée · 8h-18h30 · Dijon",""),IF('Roulement V2'!G19="CC","journée · 8h-18h30 · Beaune",""),IF('Roulement V2'!H19="CC","journée · 8h-18h30 · Dijon",""))</f>
        <v>J2 · 14h-22h · Dijon</v>
      </c>
      <c r="E6" t="str" s="2" cm="1">
        <f t="array" ref="E6">_xlfn.TEXTJOIN(" + ",TRUE,IF('Roulement V2'!I12="CC","J1 · 8h-16h · Beaune",""),IF('Roulement V2'!J12="CC","J1 · 8h-16h · Dijon",""),IF('Roulement V2'!I13="CC","J2 · 14h-22h · Beaune",""),IF('Roulement V2'!J13="CC","J2 · 14h-22h · Dijon",""),IF('Roulement V2'!I14="CC","journée · 8h-18h30 · Beaune",""),IF('Roulement V2'!J14="CC","journée · 8h-18h30 · Dijon",""),IF('Roulement V2'!I15="CC","journée · 8h-18h30 · Beaune",""),IF('Roulement V2'!J15="CC","journée · 8h-18h30 · Dijon",""),IF('Roulement V2'!I16="CC","J5 · 12h-20h · Beaune",""),IF('Roulement V2'!J16="CC","J5 · 12h-20h · Dijon",""),IF('Roulement V2'!I17="CC","préJ2/J6 · 8h-14h · Beaune",""),IF('Roulement V2'!J17="CC","préJ2/J6 · 8h-14h · Dijon",""),IF('Roulement V2'!I18="CC","journée · 8h-18h30 · Beaune",""),IF('Roulement V2'!J18="CC","journée · 8h-18h30 · Dijon",""),IF('Roulement V2'!I19="CC","journée · 8h-18h30 · Beaune",""),IF('Roulement V2'!J19="CC","journée · 8h-18h30 · Dijon",""))</f>
        <v>journée · 8h-18h30 · Beaune</v>
      </c>
      <c r="F6" t="str" s="2" cm="1">
        <f t="array" ref="F6">_xlfn.TEXTJOIN(" + ",TRUE,IF('Roulement V2'!K12="CC","J1 · 8h-16h · Beaune",""),IF('Roulement V2'!L12="CC","J1 · 8h-16h · Dijon",""),IF('Roulement V2'!K13="CC","J2 · 14h-22h · Beaune",""),IF('Roulement V2'!L13="CC","J2 · 14h-22h · Dijon",""),IF('Roulement V2'!K14="CC","journée · 8h-18h30 · Beaune",""),IF('Roulement V2'!L14="CC","journée · 8h-18h30 · Dijon",""),IF('Roulement V2'!K15="CC","journée · 8h-18h30 · Beaune",""),IF('Roulement V2'!L15="CC","journée · 8h-18h30 · Dijon",""),IF('Roulement V2'!K16="CC","J5 · 12h-20h · Beaune",""),IF('Roulement V2'!L16="CC","J5 · 12h-20h · Dijon",""),IF('Roulement V2'!K17="CC","préJ2/J6 · 8h-14h · Beaune",""),IF('Roulement V2'!L17="CC","préJ2/J6 · 8h-14h · Dijon",""),IF('Roulement V2'!K18="CC","journée · 8h-18h30 · Beaune",""),IF('Roulement V2'!L18="CC","journée · 8h-18h30 · Dijon",""),IF('Roulement V2'!K19="CC","journée · 8h-18h30 · Beaune",""),IF('Roulement V2'!L19="CC","journée · 8h-18h30 · Dijon",""))</f>
      </c>
      <c r="G6" t="str" s="2" cm="1">
        <f t="array" ref="G6">_xlfn.TEXTJOIN(" + ",TRUE,IF('Roulement V2'!M12="CC","J1 · 8h-16h · Beaune",""),IF('Roulement V2'!N12="CC","J1 · 8h-16h · Dijon",""),IF('Roulement V2'!M13="CC","J2 · 14h-22h · Beaune",""),IF('Roulement V2'!N13="CC","J2 · 14h-22h · Dijon",""),IF('Roulement V2'!M14="CC","journée · 8h-18h30 · Beaune",""),IF('Roulement V2'!N14="CC","journée · 8h-18h30 · Dijon",""),IF('Roulement V2'!M15="CC","journée · 8h-18h30 · Beaune",""),IF('Roulement V2'!N15="CC","journée · 8h-18h30 · Dijon",""),IF('Roulement V2'!M16="CC","J5 · 12h-20h · Beaune",""),IF('Roulement V2'!N16="CC","J5 · 12h-20h · Dijon",""),IF('Roulement V2'!M17="CC","préJ2/J6 · 8h-14h · Beaune",""),IF('Roulement V2'!N17="CC","préJ2/J6 · 8h-14h · Dijon",""),IF('Roulement V2'!M18="CC","journée · 8h-18h30 · Beaune",""),IF('Roulement V2'!N18="CC","journée · 8h-18h30 · Dijon",""),IF('Roulement V2'!M19="CC","journée · 8h-18h30 · Beaune",""),IF('Roulement V2'!N19="CC","journée · 8h-18h30 · Dijon",""))</f>
        <v>journée · 8h-18h30 · Beaune</v>
      </c>
      <c r="H6" t="str" s="2" cm="1">
        <f t="array" ref="H6">_xlfn.TEXTJOIN(" + ",TRUE,IF('Roulement V2'!O12="CC","J1 · 8h-16h · Beaune",""),IF('Roulement V2'!P12="CC","J1 · 8h-16h · Dijon",""),IF('Roulement V2'!O13="CC","J2 · 14h-22h · Beaune",""),IF('Roulement V2'!P13="CC","J2 · 14h-22h · Dijon",""),IF('Roulement V2'!O14="CC","journée · 8h-18h30 · Beaune",""),IF('Roulement V2'!P14="CC","journée · 8h-18h30 · Dijon",""),IF('Roulement V2'!O15="CC","journée · 8h-18h30 · Beaune",""),IF('Roulement V2'!P15="CC","journée · 8h-18h30 · Dijon",""),IF('Roulement V2'!O16="CC","J5 · 12h-20h · Beaune",""),IF('Roulement V2'!P16="CC","J5 · 12h-20h · Dijon",""),IF('Roulement V2'!O17="CC","préJ2/J6 · 8h-14h · Beaune",""),IF('Roulement V2'!P17="CC","préJ2/J6 · 8h-14h · Dijon",""),IF('Roulement V2'!O18="CC","journée · 8h-18h30 · Beaune",""),IF('Roulement V2'!P18="CC","journée · 8h-18h30 · Dijon",""),IF('Roulement V2'!O19="CC","journée · 8h-18h30 · Beaune",""),IF('Roulement V2'!P19="CC","journée · 8h-18h30 · Dijon",""))</f>
        <v>J2 · 14h-22h · Beaune</v>
      </c>
      <c r="I6" t="str" s="2" cm="1">
        <f t="array" ref="I6">_xlfn.TEXTJOIN(" + ",TRUE,IF('Roulement V2'!Q12="CC","J1 · 8h-16h · Beaune",""),IF('Roulement V2'!R12="CC","J1 · 8h-16h · Dijon",""),IF('Roulement V2'!Q13="CC","J2 · 14h-22h · Beaune",""),IF('Roulement V2'!R13="CC","J2 · 14h-22h · Dijon",""),IF('Roulement V2'!Q14="CC","journée · 8h-18h30 · Beaune",""),IF('Roulement V2'!R14="CC","journée · 8h-18h30 · Dijon",""),IF('Roulement V2'!Q15="CC","journée · 8h-18h30 · Beaune",""),IF('Roulement V2'!R15="CC","journée · 8h-18h30 · Dijon",""),IF('Roulement V2'!Q16="CC","J5 · 12h-20h · Beaune",""),IF('Roulement V2'!R16="CC","J5 · 12h-20h · Dijon",""),IF('Roulement V2'!Q17="CC","préJ2/J6 · 8h-14h · Beaune",""),IF('Roulement V2'!R17="CC","préJ2/J6 · 8h-14h · Dijon",""),IF('Roulement V2'!Q18="CC","journée · 8h-18h30 · Beaune",""),IF('Roulement V2'!R18="CC","journée · 8h-18h30 · Dijon",""),IF('Roulement V2'!Q19="CC","journée · 8h-18h30 · Beaune",""),IF('Roulement V2'!R19="CC","journée · 8h-18h30 · Dijon",""))</f>
        <v>J2 · 14h-22h · Dijon</v>
      </c>
    </row>
    <row r="7" ht="13.55" customHeight="1">
      <c r="A7" t="s" s="30">
        <v>38</v>
      </c>
      <c r="B7" t="str" s="2" cm="1">
        <f t="array" ref="B7">_xlfn.TEXTJOIN(" + ",TRUE,IF('Roulement V2'!C20="CC","J1 · 8h-16h · Beaune",""),IF('Roulement V2'!D20="CC","J1 · 8h-16h · Dijon",""),IF('Roulement V2'!C21="CC","J2 · 14h-22h · Beaune",""),IF('Roulement V2'!D21="CC","J2 · 14h-22h · Dijon",""),IF('Roulement V2'!C22="CC","journée · 8h-18h30 · Beaune",""),IF('Roulement V2'!D22="CC","journée · 8h-18h30 · Dijon",""),IF('Roulement V2'!C23="CC","journée · 8h-18h30 · Beaune",""),IF('Roulement V2'!D23="CC","journée · 8h-18h30 · Dijon",""),IF('Roulement V2'!C24="CC","J5 · 12h-20h · Beaune",""),IF('Roulement V2'!D24="CC","J5 · 12h-20h · Dijon",""),IF('Roulement V2'!C25="CC","préJ2/J6 · 8h-14h · Beaune",""),IF('Roulement V2'!D25="CC","préJ2/J6 · 8h-14h · Dijon",""),IF('Roulement V2'!C26="CC","journée · 8h-18h30 · Beaune",""),IF('Roulement V2'!D26="CC","journée · 8h-18h30 · Dijon",""),IF('Roulement V2'!C27="CC","journée · 8h-18h30 · Beaune",""),IF('Roulement V2'!D27="CC","journée · 8h-18h30 · Dijon",""))</f>
      </c>
      <c r="C7" t="str" s="2" cm="1">
        <f t="array" ref="C7">_xlfn.TEXTJOIN(" + ",TRUE,IF('Roulement V2'!E20="CC","J1 · 8h-16h · Beaune",""),IF('Roulement V2'!F20="CC","J1 · 8h-16h · Dijon",""),IF('Roulement V2'!E21="CC","J2 · 14h-22h · Beaune",""),IF('Roulement V2'!F21="CC","J2 · 14h-22h · Dijon",""),IF('Roulement V2'!E22="CC","journée · 8h-18h30 · Beaune",""),IF('Roulement V2'!F22="CC","journée · 8h-18h30 · Dijon",""),IF('Roulement V2'!E23="CC","journée · 8h-18h30 · Beaune",""),IF('Roulement V2'!F23="CC","journée · 8h-18h30 · Dijon",""),IF('Roulement V2'!E24="CC","J5 · 12h-20h · Beaune",""),IF('Roulement V2'!F24="CC","J5 · 12h-20h · Dijon",""),IF('Roulement V2'!E25="CC","préJ2/J6 · 8h-14h · Beaune",""),IF('Roulement V2'!F25="CC","préJ2/J6 · 8h-14h · Dijon",""),IF('Roulement V2'!E26="CC","journée · 8h-18h30 · Beaune",""),IF('Roulement V2'!F26="CC","journée · 8h-18h30 · Dijon",""),IF('Roulement V2'!E27="CC","journée · 8h-18h30 · Beaune",""),IF('Roulement V2'!F27="CC","journée · 8h-18h30 · Dijon",""))</f>
      </c>
      <c r="D7" t="str" s="2" cm="1">
        <f t="array" ref="D7">_xlfn.TEXTJOIN(" + ",TRUE,IF('Roulement V2'!G20="CC","J1 · 8h-16h · Beaune",""),IF('Roulement V2'!H20="CC","J1 · 8h-16h · Dijon",""),IF('Roulement V2'!G21="CC","J2 · 14h-22h · Beaune",""),IF('Roulement V2'!H21="CC","J2 · 14h-22h · Dijon",""),IF('Roulement V2'!G22="CC","journée · 8h-18h30 · Beaune",""),IF('Roulement V2'!H22="CC","journée · 8h-18h30 · Dijon",""),IF('Roulement V2'!G23="CC","journée · 8h-18h30 · Beaune",""),IF('Roulement V2'!H23="CC","journée · 8h-18h30 · Dijon",""),IF('Roulement V2'!G24="CC","J5 · 12h-20h · Beaune",""),IF('Roulement V2'!H24="CC","J5 · 12h-20h · Dijon",""),IF('Roulement V2'!G25="CC","préJ2/J6 · 8h-14h · Beaune",""),IF('Roulement V2'!H25="CC","préJ2/J6 · 8h-14h · Dijon",""),IF('Roulement V2'!G26="CC","journée · 8h-18h30 · Beaune",""),IF('Roulement V2'!H26="CC","journée · 8h-18h30 · Dijon",""),IF('Roulement V2'!G27="CC","journée · 8h-18h30 · Beaune",""),IF('Roulement V2'!H27="CC","journée · 8h-18h30 · Dijon",""))</f>
        <v>journée · 8h-18h30 · Beaune</v>
      </c>
      <c r="E7" t="str" s="2" cm="1">
        <f t="array" ref="E7">_xlfn.TEXTJOIN(" + ",TRUE,IF('Roulement V2'!I20="CC","J1 · 8h-16h · Beaune",""),IF('Roulement V2'!J20="CC","J1 · 8h-16h · Dijon",""),IF('Roulement V2'!I21="CC","J2 · 14h-22h · Beaune",""),IF('Roulement V2'!J21="CC","J2 · 14h-22h · Dijon",""),IF('Roulement V2'!I22="CC","journée · 8h-18h30 · Beaune",""),IF('Roulement V2'!J22="CC","journée · 8h-18h30 · Dijon",""),IF('Roulement V2'!I23="CC","journée · 8h-18h30 · Beaune",""),IF('Roulement V2'!J23="CC","journée · 8h-18h30 · Dijon",""),IF('Roulement V2'!I24="CC","J5 · 12h-20h · Beaune",""),IF('Roulement V2'!J24="CC","J5 · 12h-20h · Dijon",""),IF('Roulement V2'!I25="CC","préJ2/J6 · 8h-14h · Beaune",""),IF('Roulement V2'!J25="CC","préJ2/J6 · 8h-14h · Dijon",""),IF('Roulement V2'!I26="CC","journée · 8h-18h30 · Beaune",""),IF('Roulement V2'!J26="CC","journée · 8h-18h30 · Dijon",""),IF('Roulement V2'!I27="CC","journée · 8h-18h30 · Beaune",""),IF('Roulement V2'!J27="CC","journée · 8h-18h30 · Dijon",""))</f>
      </c>
      <c r="F7" t="str" s="2" cm="1">
        <f t="array" ref="F7">_xlfn.TEXTJOIN(" + ",TRUE,IF('Roulement V2'!K20="CC","J1 · 8h-16h · Beaune",""),IF('Roulement V2'!L20="CC","J1 · 8h-16h · Dijon",""),IF('Roulement V2'!K21="CC","J2 · 14h-22h · Beaune",""),IF('Roulement V2'!L21="CC","J2 · 14h-22h · Dijon",""),IF('Roulement V2'!K22="CC","journée · 8h-18h30 · Beaune",""),IF('Roulement V2'!L22="CC","journée · 8h-18h30 · Dijon",""),IF('Roulement V2'!K23="CC","journée · 8h-18h30 · Beaune",""),IF('Roulement V2'!L23="CC","journée · 8h-18h30 · Dijon",""),IF('Roulement V2'!K24="CC","J5 · 12h-20h · Beaune",""),IF('Roulement V2'!L24="CC","J5 · 12h-20h · Dijon",""),IF('Roulement V2'!K25="CC","préJ2/J6 · 8h-14h · Beaune",""),IF('Roulement V2'!L25="CC","préJ2/J6 · 8h-14h · Dijon",""),IF('Roulement V2'!K26="CC","journée · 8h-18h30 · Beaune",""),IF('Roulement V2'!L26="CC","journée · 8h-18h30 · Dijon",""),IF('Roulement V2'!K27="CC","journée · 8h-18h30 · Beaune",""),IF('Roulement V2'!L27="CC","journée · 8h-18h30 · Dijon",""))</f>
      </c>
      <c r="G7" t="str" s="2" cm="1">
        <f t="array" ref="G7">_xlfn.TEXTJOIN(" + ",TRUE,IF('Roulement V2'!M20="CC","J1 · 8h-16h · Beaune",""),IF('Roulement V2'!N20="CC","J1 · 8h-16h · Dijon",""),IF('Roulement V2'!M21="CC","J2 · 14h-22h · Beaune",""),IF('Roulement V2'!N21="CC","J2 · 14h-22h · Dijon",""),IF('Roulement V2'!M22="CC","journée · 8h-18h30 · Beaune",""),IF('Roulement V2'!N22="CC","journée · 8h-18h30 · Dijon",""),IF('Roulement V2'!M23="CC","journée · 8h-18h30 · Beaune",""),IF('Roulement V2'!N23="CC","journée · 8h-18h30 · Dijon",""),IF('Roulement V2'!M24="CC","J5 · 12h-20h · Beaune",""),IF('Roulement V2'!N24="CC","J5 · 12h-20h · Dijon",""),IF('Roulement V2'!M25="CC","préJ2/J6 · 8h-14h · Beaune",""),IF('Roulement V2'!N25="CC","préJ2/J6 · 8h-14h · Dijon",""),IF('Roulement V2'!M26="CC","journée · 8h-18h30 · Beaune",""),IF('Roulement V2'!N26="CC","journée · 8h-18h30 · Dijon",""),IF('Roulement V2'!M27="CC","journée · 8h-18h30 · Beaune",""),IF('Roulement V2'!N27="CC","journée · 8h-18h30 · Dijon",""))</f>
      </c>
      <c r="H7" t="str" s="2" cm="1">
        <f t="array" ref="H7">_xlfn.TEXTJOIN(" + ",TRUE,IF('Roulement V2'!O20="CC","J1 · 8h-16h · Beaune",""),IF('Roulement V2'!P20="CC","J1 · 8h-16h · Dijon",""),IF('Roulement V2'!O21="CC","J2 · 14h-22h · Beaune",""),IF('Roulement V2'!P21="CC","J2 · 14h-22h · Dijon",""),IF('Roulement V2'!O22="CC","journée · 8h-18h30 · Beaune",""),IF('Roulement V2'!P22="CC","journée · 8h-18h30 · Dijon",""),IF('Roulement V2'!O23="CC","journée · 8h-18h30 · Beaune",""),IF('Roulement V2'!P23="CC","journée · 8h-18h30 · Dijon",""),IF('Roulement V2'!O24="CC","J5 · 12h-20h · Beaune",""),IF('Roulement V2'!P24="CC","J5 · 12h-20h · Dijon",""),IF('Roulement V2'!O25="CC","préJ2/J6 · 8h-14h · Beaune",""),IF('Roulement V2'!P25="CC","préJ2/J6 · 8h-14h · Dijon",""),IF('Roulement V2'!O26="CC","journée · 8h-18h30 · Beaune",""),IF('Roulement V2'!P26="CC","journée · 8h-18h30 · Dijon",""),IF('Roulement V2'!O27="CC","journée · 8h-18h30 · Beaune",""),IF('Roulement V2'!P27="CC","journée · 8h-18h30 · Dijon",""))</f>
        <v>J2 · 14h-22h · Dijon</v>
      </c>
      <c r="I7" t="str" s="2" cm="1">
        <f t="array" ref="I7">_xlfn.TEXTJOIN(" + ",TRUE,IF('Roulement V2'!Q20="CC","J1 · 8h-16h · Beaune",""),IF('Roulement V2'!R20="CC","J1 · 8h-16h · Dijon",""),IF('Roulement V2'!Q21="CC","J2 · 14h-22h · Beaune",""),IF('Roulement V2'!R21="CC","J2 · 14h-22h · Dijon",""),IF('Roulement V2'!Q22="CC","journée · 8h-18h30 · Beaune",""),IF('Roulement V2'!R22="CC","journée · 8h-18h30 · Dijon",""),IF('Roulement V2'!Q23="CC","journée · 8h-18h30 · Beaune",""),IF('Roulement V2'!R23="CC","journée · 8h-18h30 · Dijon",""),IF('Roulement V2'!Q24="CC","J5 · 12h-20h · Beaune",""),IF('Roulement V2'!R24="CC","J5 · 12h-20h · Dijon",""),IF('Roulement V2'!Q25="CC","préJ2/J6 · 8h-14h · Beaune",""),IF('Roulement V2'!R25="CC","préJ2/J6 · 8h-14h · Dijon",""),IF('Roulement V2'!Q26="CC","journée · 8h-18h30 · Beaune",""),IF('Roulement V2'!R26="CC","journée · 8h-18h30 · Dijon",""),IF('Roulement V2'!Q27="CC","journée · 8h-18h30 · Beaune",""),IF('Roulement V2'!R27="CC","journée · 8h-18h30 · Dijon",""))</f>
      </c>
    </row>
    <row r="8" ht="13.55" customHeight="1">
      <c r="A8" t="s" s="30">
        <v>39</v>
      </c>
      <c r="B8" t="str" s="2" cm="1">
        <f t="array" ref="B8">_xlfn.TEXTJOIN(" + ",TRUE,IF('Roulement V2'!C28="CC","J1 · 8h-16h · Beaune",""),IF('Roulement V2'!D28="CC","J1 · 8h-16h · Dijon",""),IF('Roulement V2'!C29="CC","J2 · 14h-22h · Beaune",""),IF('Roulement V2'!D29="CC","J2 · 14h-22h · Dijon",""),IF('Roulement V2'!C30="CC","journée · 8h-18h30 · Beaune",""),IF('Roulement V2'!D30="CC","journée · 8h-18h30 · Dijon",""),IF('Roulement V2'!C31="CC","journée · 8h-18h30 · Beaune",""),IF('Roulement V2'!D31="CC","journée · 8h-18h30 · Dijon",""),IF('Roulement V2'!C32="CC","J5 · 12h-20h · Beaune",""),IF('Roulement V2'!D32="CC","J5 · 12h-20h · Dijon",""),IF('Roulement V2'!C33="CC","préJ2/J6 · 8h-14h · Beaune",""),IF('Roulement V2'!D33="CC","préJ2/J6 · 8h-14h · Dijon",""),IF('Roulement V2'!C34="CC","journée · 8h-18h30 · Beaune",""),IF('Roulement V2'!D34="CC","journée · 8h-18h30 · Dijon",""),IF('Roulement V2'!C35="CC","journée · 8h-18h30 · Beaune",""),IF('Roulement V2'!D35="CC","journée · 8h-18h30 · Dijon",""))</f>
        <v>journée · 8h-18h30 · Dijon</v>
      </c>
      <c r="C8" t="str" s="2" cm="1">
        <f t="array" ref="C8">_xlfn.TEXTJOIN(" + ",TRUE,IF('Roulement V2'!E28="CC","J1 · 8h-16h · Beaune",""),IF('Roulement V2'!F28="CC","J1 · 8h-16h · Dijon",""),IF('Roulement V2'!E29="CC","J2 · 14h-22h · Beaune",""),IF('Roulement V2'!F29="CC","J2 · 14h-22h · Dijon",""),IF('Roulement V2'!E30="CC","journée · 8h-18h30 · Beaune",""),IF('Roulement V2'!F30="CC","journée · 8h-18h30 · Dijon",""),IF('Roulement V2'!E31="CC","journée · 8h-18h30 · Beaune",""),IF('Roulement V2'!F31="CC","journée · 8h-18h30 · Dijon",""),IF('Roulement V2'!E32="CC","J5 · 12h-20h · Beaune",""),IF('Roulement V2'!F32="CC","J5 · 12h-20h · Dijon",""),IF('Roulement V2'!E33="CC","préJ2/J6 · 8h-14h · Beaune",""),IF('Roulement V2'!F33="CC","préJ2/J6 · 8h-14h · Dijon",""),IF('Roulement V2'!E34="CC","journée · 8h-18h30 · Beaune",""),IF('Roulement V2'!F34="CC","journée · 8h-18h30 · Dijon",""),IF('Roulement V2'!E35="CC","journée · 8h-18h30 · Beaune",""),IF('Roulement V2'!F35="CC","journée · 8h-18h30 · Dijon",""))</f>
        <v>J1 · 8h-16h · Beaune</v>
      </c>
      <c r="D8" t="str" s="2" cm="1">
        <f t="array" ref="D8">_xlfn.TEXTJOIN(" + ",TRUE,IF('Roulement V2'!G28="CC","J1 · 8h-16h · Beaune",""),IF('Roulement V2'!H28="CC","J1 · 8h-16h · Dijon",""),IF('Roulement V2'!G29="CC","J2 · 14h-22h · Beaune",""),IF('Roulement V2'!H29="CC","J2 · 14h-22h · Dijon",""),IF('Roulement V2'!G30="CC","journée · 8h-18h30 · Beaune",""),IF('Roulement V2'!H30="CC","journée · 8h-18h30 · Dijon",""),IF('Roulement V2'!G31="CC","journée · 8h-18h30 · Beaune",""),IF('Roulement V2'!H31="CC","journée · 8h-18h30 · Dijon",""),IF('Roulement V2'!G32="CC","J5 · 12h-20h · Beaune",""),IF('Roulement V2'!H32="CC","J5 · 12h-20h · Dijon",""),IF('Roulement V2'!G33="CC","préJ2/J6 · 8h-14h · Beaune",""),IF('Roulement V2'!H33="CC","préJ2/J6 · 8h-14h · Dijon",""),IF('Roulement V2'!G34="CC","journée · 8h-18h30 · Beaune",""),IF('Roulement V2'!H34="CC","journée · 8h-18h30 · Dijon",""),IF('Roulement V2'!G35="CC","journée · 8h-18h30 · Beaune",""),IF('Roulement V2'!H35="CC","journée · 8h-18h30 · Dijon",""))</f>
        <v>J1 · 8h-16h · Beaune</v>
      </c>
      <c r="E8" t="str" s="2" cm="1">
        <f t="array" ref="E8">_xlfn.TEXTJOIN(" + ",TRUE,IF('Roulement V2'!I28="CC","J1 · 8h-16h · Beaune",""),IF('Roulement V2'!J28="CC","J1 · 8h-16h · Dijon",""),IF('Roulement V2'!I29="CC","J2 · 14h-22h · Beaune",""),IF('Roulement V2'!J29="CC","J2 · 14h-22h · Dijon",""),IF('Roulement V2'!I30="CC","journée · 8h-18h30 · Beaune",""),IF('Roulement V2'!J30="CC","journée · 8h-18h30 · Dijon",""),IF('Roulement V2'!I31="CC","journée · 8h-18h30 · Beaune",""),IF('Roulement V2'!J31="CC","journée · 8h-18h30 · Dijon",""),IF('Roulement V2'!I32="CC","J5 · 12h-20h · Beaune",""),IF('Roulement V2'!J32="CC","J5 · 12h-20h · Dijon",""),IF('Roulement V2'!I33="CC","préJ2/J6 · 8h-14h · Beaune",""),IF('Roulement V2'!J33="CC","préJ2/J6 · 8h-14h · Dijon",""),IF('Roulement V2'!I34="CC","journée · 8h-18h30 · Beaune",""),IF('Roulement V2'!J34="CC","journée · 8h-18h30 · Dijon",""),IF('Roulement V2'!I35="CC","journée · 8h-18h30 · Beaune",""),IF('Roulement V2'!J35="CC","journée · 8h-18h30 · Dijon",""))</f>
        <v>journée · 8h-18h30 · Dijon</v>
      </c>
      <c r="F8" t="str" s="2" cm="1">
        <f t="array" ref="F8">_xlfn.TEXTJOIN(" + ",TRUE,IF('Roulement V2'!K28="CC","J1 · 8h-16h · Beaune",""),IF('Roulement V2'!L28="CC","J1 · 8h-16h · Dijon",""),IF('Roulement V2'!K29="CC","J2 · 14h-22h · Beaune",""),IF('Roulement V2'!L29="CC","J2 · 14h-22h · Dijon",""),IF('Roulement V2'!K30="CC","journée · 8h-18h30 · Beaune",""),IF('Roulement V2'!L30="CC","journée · 8h-18h30 · Dijon",""),IF('Roulement V2'!K31="CC","journée · 8h-18h30 · Beaune",""),IF('Roulement V2'!L31="CC","journée · 8h-18h30 · Dijon",""),IF('Roulement V2'!K32="CC","J5 · 12h-20h · Beaune",""),IF('Roulement V2'!L32="CC","J5 · 12h-20h · Dijon",""),IF('Roulement V2'!K33="CC","préJ2/J6 · 8h-14h · Beaune",""),IF('Roulement V2'!L33="CC","préJ2/J6 · 8h-14h · Dijon",""),IF('Roulement V2'!K34="CC","journée · 8h-18h30 · Beaune",""),IF('Roulement V2'!L34="CC","journée · 8h-18h30 · Dijon",""),IF('Roulement V2'!K35="CC","journée · 8h-18h30 · Beaune",""),IF('Roulement V2'!L35="CC","journée · 8h-18h30 · Dijon",""))</f>
        <v>journée · 8h-18h30 · Dijon</v>
      </c>
      <c r="G8" t="str" s="2" cm="1">
        <f t="array" ref="G8">_xlfn.TEXTJOIN(" + ",TRUE,IF('Roulement V2'!M28="CC","J1 · 8h-16h · Beaune",""),IF('Roulement V2'!N28="CC","J1 · 8h-16h · Dijon",""),IF('Roulement V2'!M29="CC","J2 · 14h-22h · Beaune",""),IF('Roulement V2'!N29="CC","J2 · 14h-22h · Dijon",""),IF('Roulement V2'!M30="CC","journée · 8h-18h30 · Beaune",""),IF('Roulement V2'!N30="CC","journée · 8h-18h30 · Dijon",""),IF('Roulement V2'!M31="CC","journée · 8h-18h30 · Beaune",""),IF('Roulement V2'!N31="CC","journée · 8h-18h30 · Dijon",""),IF('Roulement V2'!M32="CC","J5 · 12h-20h · Beaune",""),IF('Roulement V2'!N32="CC","J5 · 12h-20h · Dijon",""),IF('Roulement V2'!M33="CC","préJ2/J6 · 8h-14h · Beaune",""),IF('Roulement V2'!N33="CC","préJ2/J6 · 8h-14h · Dijon",""),IF('Roulement V2'!M34="CC","journée · 8h-18h30 · Beaune",""),IF('Roulement V2'!N34="CC","journée · 8h-18h30 · Dijon",""),IF('Roulement V2'!M35="CC","journée · 8h-18h30 · Beaune",""),IF('Roulement V2'!N35="CC","journée · 8h-18h30 · Dijon",""))</f>
        <v>journée · 8h-18h30 · Dijon</v>
      </c>
      <c r="H8" t="str" s="2" cm="1">
        <f t="array" ref="H8">_xlfn.TEXTJOIN(" + ",TRUE,IF('Roulement V2'!O28="CC","J1 · 8h-16h · Beaune",""),IF('Roulement V2'!P28="CC","J1 · 8h-16h · Dijon",""),IF('Roulement V2'!O29="CC","J2 · 14h-22h · Beaune",""),IF('Roulement V2'!P29="CC","J2 · 14h-22h · Dijon",""),IF('Roulement V2'!O30="CC","journée · 8h-18h30 · Beaune",""),IF('Roulement V2'!P30="CC","journée · 8h-18h30 · Dijon",""),IF('Roulement V2'!O31="CC","journée · 8h-18h30 · Beaune",""),IF('Roulement V2'!P31="CC","journée · 8h-18h30 · Dijon",""),IF('Roulement V2'!O32="CC","J5 · 12h-20h · Beaune",""),IF('Roulement V2'!P32="CC","J5 · 12h-20h · Dijon",""),IF('Roulement V2'!O33="CC","préJ2/J6 · 8h-14h · Beaune",""),IF('Roulement V2'!P33="CC","préJ2/J6 · 8h-14h · Dijon",""),IF('Roulement V2'!O34="CC","journée · 8h-18h30 · Beaune",""),IF('Roulement V2'!P34="CC","journée · 8h-18h30 · Dijon",""),IF('Roulement V2'!O35="CC","journée · 8h-18h30 · Beaune",""),IF('Roulement V2'!P35="CC","journée · 8h-18h30 · Dijon",""))</f>
        <v>J1 · 8h-16h · Beaune</v>
      </c>
      <c r="I8" t="str" s="2" cm="1">
        <f t="array" ref="I8">_xlfn.TEXTJOIN(" + ",TRUE,IF('Roulement V2'!Q28="CC","J1 · 8h-16h · Beaune",""),IF('Roulement V2'!R28="CC","J1 · 8h-16h · Dijon",""),IF('Roulement V2'!Q29="CC","J2 · 14h-22h · Beaune",""),IF('Roulement V2'!R29="CC","J2 · 14h-22h · Dijon",""),IF('Roulement V2'!Q30="CC","journée · 8h-18h30 · Beaune",""),IF('Roulement V2'!R30="CC","journée · 8h-18h30 · Dijon",""),IF('Roulement V2'!Q31="CC","journée · 8h-18h30 · Beaune",""),IF('Roulement V2'!R31="CC","journée · 8h-18h30 · Dijon",""),IF('Roulement V2'!Q32="CC","J5 · 12h-20h · Beaune",""),IF('Roulement V2'!R32="CC","J5 · 12h-20h · Dijon",""),IF('Roulement V2'!Q33="CC","préJ2/J6 · 8h-14h · Beaune",""),IF('Roulement V2'!R33="CC","préJ2/J6 · 8h-14h · Dijon",""),IF('Roulement V2'!Q34="CC","journée · 8h-18h30 · Beaune",""),IF('Roulement V2'!R34="CC","journée · 8h-18h30 · Dijon",""),IF('Roulement V2'!Q35="CC","journée · 8h-18h30 · Beaune",""),IF('Roulement V2'!R35="CC","journée · 8h-18h30 · Dijon",""))</f>
        <v>journée · 8h-18h30 · Dijon</v>
      </c>
    </row>
    <row r="9" ht="13.55" customHeight="1">
      <c r="A9" t="s" s="30">
        <v>40</v>
      </c>
      <c r="B9" t="str" s="2" cm="1">
        <f t="array" ref="B9">_xlfn.TEXTJOIN(" + ",TRUE,IF('Roulement V2'!C36="CC","J1 · 8h-16h · Beaune",""),IF('Roulement V2'!D36="CC","J1 · 8h-16h · Dijon",""),IF('Roulement V2'!C37="CC","J2 · 14h-22h · Beaune",""),IF('Roulement V2'!D37="CC","J2 · 14h-22h · Dijon",""),IF('Roulement V2'!C38="CC","journée · 8h-18h30 · Beaune",""),IF('Roulement V2'!D38="CC","journée · 8h-18h30 · Dijon",""),IF('Roulement V2'!C39="CC","journée · 8h-18h30 · Beaune",""),IF('Roulement V2'!D39="CC","journée · 8h-18h30 · Dijon",""),IF('Roulement V2'!C40="CC","J5 · 12h-20h · Beaune",""),IF('Roulement V2'!D40="CC","J5 · 12h-20h · Dijon",""),IF('Roulement V2'!C41="CC","préJ2/J6 · 8h-14h · Beaune",""),IF('Roulement V2'!D41="CC","préJ2/J6 · 8h-14h · Dijon",""),IF('Roulement V2'!C42="CC","journée · 8h-18h30 · Beaune",""),IF('Roulement V2'!D42="CC","journée · 8h-18h30 · Dijon",""),IF('Roulement V2'!C43="CC","journée · 8h-18h30 · Beaune",""),IF('Roulement V2'!D43="CC","journée · 8h-18h30 · Dijon",""))</f>
      </c>
      <c r="C9" t="str" s="2" cm="1">
        <f t="array" ref="C9">_xlfn.TEXTJOIN(" + ",TRUE,IF('Roulement V2'!E36="CC","J1 · 8h-16h · Beaune",""),IF('Roulement V2'!F36="CC","J1 · 8h-16h · Dijon",""),IF('Roulement V2'!E37="CC","J2 · 14h-22h · Beaune",""),IF('Roulement V2'!F37="CC","J2 · 14h-22h · Dijon",""),IF('Roulement V2'!E38="CC","journée · 8h-18h30 · Beaune",""),IF('Roulement V2'!F38="CC","journée · 8h-18h30 · Dijon",""),IF('Roulement V2'!E39="CC","journée · 8h-18h30 · Beaune",""),IF('Roulement V2'!F39="CC","journée · 8h-18h30 · Dijon",""),IF('Roulement V2'!E40="CC","J5 · 12h-20h · Beaune",""),IF('Roulement V2'!F40="CC","J5 · 12h-20h · Dijon",""),IF('Roulement V2'!E41="CC","préJ2/J6 · 8h-14h · Beaune",""),IF('Roulement V2'!F41="CC","préJ2/J6 · 8h-14h · Dijon",""),IF('Roulement V2'!E42="CC","journée · 8h-18h30 · Beaune",""),IF('Roulement V2'!F42="CC","journée · 8h-18h30 · Dijon",""),IF('Roulement V2'!E43="CC","journée · 8h-18h30 · Beaune",""),IF('Roulement V2'!F43="CC","journée · 8h-18h30 · Dijon",""))</f>
        <v>J2 · 14h-22h · Beaune</v>
      </c>
      <c r="D9" t="str" s="2" cm="1">
        <f t="array" ref="D9">_xlfn.TEXTJOIN(" + ",TRUE,IF('Roulement V2'!G36="CC","J1 · 8h-16h · Beaune",""),IF('Roulement V2'!H36="CC","J1 · 8h-16h · Dijon",""),IF('Roulement V2'!G37="CC","J2 · 14h-22h · Beaune",""),IF('Roulement V2'!H37="CC","J2 · 14h-22h · Dijon",""),IF('Roulement V2'!G38="CC","journée · 8h-18h30 · Beaune",""),IF('Roulement V2'!H38="CC","journée · 8h-18h30 · Dijon",""),IF('Roulement V2'!G39="CC","journée · 8h-18h30 · Beaune",""),IF('Roulement V2'!H39="CC","journée · 8h-18h30 · Dijon",""),IF('Roulement V2'!G40="CC","J5 · 12h-20h · Beaune",""),IF('Roulement V2'!H40="CC","J5 · 12h-20h · Dijon",""),IF('Roulement V2'!G41="CC","préJ2/J6 · 8h-14h · Beaune",""),IF('Roulement V2'!H41="CC","préJ2/J6 · 8h-14h · Dijon",""),IF('Roulement V2'!G42="CC","journée · 8h-18h30 · Beaune",""),IF('Roulement V2'!H42="CC","journée · 8h-18h30 · Dijon",""),IF('Roulement V2'!G43="CC","journée · 8h-18h30 · Beaune",""),IF('Roulement V2'!H43="CC","journée · 8h-18h30 · Dijon",""))</f>
      </c>
      <c r="E9" t="str" s="2" cm="1">
        <f t="array" ref="E9">_xlfn.TEXTJOIN(" + ",TRUE,IF('Roulement V2'!I36="CC","J1 · 8h-16h · Beaune",""),IF('Roulement V2'!J36="CC","J1 · 8h-16h · Dijon",""),IF('Roulement V2'!I37="CC","J2 · 14h-22h · Beaune",""),IF('Roulement V2'!J37="CC","J2 · 14h-22h · Dijon",""),IF('Roulement V2'!I38="CC","journée · 8h-18h30 · Beaune",""),IF('Roulement V2'!J38="CC","journée · 8h-18h30 · Dijon",""),IF('Roulement V2'!I39="CC","journée · 8h-18h30 · Beaune",""),IF('Roulement V2'!J39="CC","journée · 8h-18h30 · Dijon",""),IF('Roulement V2'!I40="CC","J5 · 12h-20h · Beaune",""),IF('Roulement V2'!J40="CC","J5 · 12h-20h · Dijon",""),IF('Roulement V2'!I41="CC","préJ2/J6 · 8h-14h · Beaune",""),IF('Roulement V2'!J41="CC","préJ2/J6 · 8h-14h · Dijon",""),IF('Roulement V2'!I42="CC","journée · 8h-18h30 · Beaune",""),IF('Roulement V2'!J42="CC","journée · 8h-18h30 · Dijon",""),IF('Roulement V2'!I43="CC","journée · 8h-18h30 · Beaune",""),IF('Roulement V2'!J43="CC","journée · 8h-18h30 · Dijon",""))</f>
      </c>
      <c r="F9" t="str" s="2" cm="1">
        <f t="array" ref="F9">_xlfn.TEXTJOIN(" + ",TRUE,IF('Roulement V2'!K36="CC","J1 · 8h-16h · Beaune",""),IF('Roulement V2'!L36="CC","J1 · 8h-16h · Dijon",""),IF('Roulement V2'!K37="CC","J2 · 14h-22h · Beaune",""),IF('Roulement V2'!L37="CC","J2 · 14h-22h · Dijon",""),IF('Roulement V2'!K38="CC","journée · 8h-18h30 · Beaune",""),IF('Roulement V2'!L38="CC","journée · 8h-18h30 · Dijon",""),IF('Roulement V2'!K39="CC","journée · 8h-18h30 · Beaune",""),IF('Roulement V2'!L39="CC","journée · 8h-18h30 · Dijon",""),IF('Roulement V2'!K40="CC","J5 · 12h-20h · Beaune",""),IF('Roulement V2'!L40="CC","J5 · 12h-20h · Dijon",""),IF('Roulement V2'!K41="CC","préJ2/J6 · 8h-14h · Beaune",""),IF('Roulement V2'!L41="CC","préJ2/J6 · 8h-14h · Dijon",""),IF('Roulement V2'!K42="CC","journée · 8h-18h30 · Beaune",""),IF('Roulement V2'!L42="CC","journée · 8h-18h30 · Dijon",""),IF('Roulement V2'!K43="CC","journée · 8h-18h30 · Beaune",""),IF('Roulement V2'!L43="CC","journée · 8h-18h30 · Dijon",""))</f>
      </c>
      <c r="G9" t="str" s="2" cm="1">
        <f t="array" ref="G9">_xlfn.TEXTJOIN(" + ",TRUE,IF('Roulement V2'!M36="CC","J1 · 8h-16h · Beaune",""),IF('Roulement V2'!N36="CC","J1 · 8h-16h · Dijon",""),IF('Roulement V2'!M37="CC","J2 · 14h-22h · Beaune",""),IF('Roulement V2'!N37="CC","J2 · 14h-22h · Dijon",""),IF('Roulement V2'!M38="CC","journée · 8h-18h30 · Beaune",""),IF('Roulement V2'!N38="CC","journée · 8h-18h30 · Dijon",""),IF('Roulement V2'!M39="CC","journée · 8h-18h30 · Beaune",""),IF('Roulement V2'!N39="CC","journée · 8h-18h30 · Dijon",""),IF('Roulement V2'!M40="CC","J5 · 12h-20h · Beaune",""),IF('Roulement V2'!N40="CC","J5 · 12h-20h · Dijon",""),IF('Roulement V2'!M41="CC","préJ2/J6 · 8h-14h · Beaune",""),IF('Roulement V2'!N41="CC","préJ2/J6 · 8h-14h · Dijon",""),IF('Roulement V2'!M42="CC","journée · 8h-18h30 · Beaune",""),IF('Roulement V2'!N42="CC","journée · 8h-18h30 · Dijon",""),IF('Roulement V2'!M43="CC","journée · 8h-18h30 · Beaune",""),IF('Roulement V2'!N43="CC","journée · 8h-18h30 · Dijon",""))</f>
        <v>J2 · 14h-22h · Dijon</v>
      </c>
      <c r="H9" t="str" s="2" cm="1">
        <f t="array" ref="H9">_xlfn.TEXTJOIN(" + ",TRUE,IF('Roulement V2'!O36="CC","J1 · 8h-16h · Beaune",""),IF('Roulement V2'!P36="CC","J1 · 8h-16h · Dijon",""),IF('Roulement V2'!O37="CC","J2 · 14h-22h · Beaune",""),IF('Roulement V2'!P37="CC","J2 · 14h-22h · Dijon",""),IF('Roulement V2'!O38="CC","journée · 8h-18h30 · Beaune",""),IF('Roulement V2'!P38="CC","journée · 8h-18h30 · Dijon",""),IF('Roulement V2'!O39="CC","journée · 8h-18h30 · Beaune",""),IF('Roulement V2'!P39="CC","journée · 8h-18h30 · Dijon",""),IF('Roulement V2'!O40="CC","J5 · 12h-20h · Beaune",""),IF('Roulement V2'!P40="CC","J5 · 12h-20h · Dijon",""),IF('Roulement V2'!O41="CC","préJ2/J6 · 8h-14h · Beaune",""),IF('Roulement V2'!P41="CC","préJ2/J6 · 8h-14h · Dijon",""),IF('Roulement V2'!O42="CC","journée · 8h-18h30 · Beaune",""),IF('Roulement V2'!P42="CC","journée · 8h-18h30 · Dijon",""),IF('Roulement V2'!O43="CC","journée · 8h-18h30 · Beaune",""),IF('Roulement V2'!P43="CC","journée · 8h-18h30 · Dijon",""))</f>
      </c>
      <c r="I9" t="str" s="2" cm="1">
        <f t="array" ref="I9">_xlfn.TEXTJOIN(" + ",TRUE,IF('Roulement V2'!Q36="CC","J1 · 8h-16h · Beaune",""),IF('Roulement V2'!R36="CC","J1 · 8h-16h · Dijon",""),IF('Roulement V2'!Q37="CC","J2 · 14h-22h · Beaune",""),IF('Roulement V2'!R37="CC","J2 · 14h-22h · Dijon",""),IF('Roulement V2'!Q38="CC","journée · 8h-18h30 · Beaune",""),IF('Roulement V2'!R38="CC","journée · 8h-18h30 · Dijon",""),IF('Roulement V2'!Q39="CC","journée · 8h-18h30 · Beaune",""),IF('Roulement V2'!R39="CC","journée · 8h-18h30 · Dijon",""),IF('Roulement V2'!Q40="CC","J5 · 12h-20h · Beaune",""),IF('Roulement V2'!R40="CC","J5 · 12h-20h · Dijon",""),IF('Roulement V2'!Q41="CC","préJ2/J6 · 8h-14h · Beaune",""),IF('Roulement V2'!R41="CC","préJ2/J6 · 8h-14h · Dijon",""),IF('Roulement V2'!Q42="CC","journée · 8h-18h30 · Beaune",""),IF('Roulement V2'!R42="CC","journée · 8h-18h30 · Dijon",""),IF('Roulement V2'!Q43="CC","journée · 8h-18h30 · Beaune",""),IF('Roulement V2'!R43="CC","journée · 8h-18h30 · Dijon",""))</f>
      </c>
    </row>
    <row r="10" ht="13.55" customHeight="1">
      <c r="A10" t="s" s="30">
        <v>41</v>
      </c>
      <c r="B10" t="str" s="2" cm="1">
        <f t="array" ref="B10">_xlfn.TEXTJOIN(" + ",TRUE,IF('Roulement V2'!C44="CC","Garde · Beaune",""),IF('Roulement V2'!D44="CC","Garde · Dijon",""),IF('Roulement V2'!C45="CC","Doublon · Beaune",""),IF('Roulement V2'!D45="CC","Doublon · Dijon",""))</f>
      </c>
      <c r="C10" t="str" s="2" cm="1">
        <f t="array" ref="C10">_xlfn.TEXTJOIN(" + ",TRUE,IF('Roulement V2'!E44="CC","Garde · Beaune",""),IF('Roulement V2'!F44="CC","Garde · Dijon",""),IF('Roulement V2'!E45="CC","Doublon · Beaune",""),IF('Roulement V2'!F45="CC","Doublon · Dijon",""))</f>
        <v>Garde · Beaune</v>
      </c>
      <c r="D10" t="str" s="2" cm="1">
        <f t="array" ref="D10">_xlfn.TEXTJOIN(" + ",TRUE,IF('Roulement V2'!G44="CC","Garde · Beaune",""),IF('Roulement V2'!H44="CC","Garde · Dijon",""),IF('Roulement V2'!G45="CC","Doublon · Beaune",""),IF('Roulement V2'!H45="CC","Doublon · Dijon",""))</f>
      </c>
      <c r="E10" t="str" s="2" cm="1">
        <f t="array" ref="E10">_xlfn.TEXTJOIN(" + ",TRUE,IF('Roulement V2'!I44="CC","Garde · Beaune",""),IF('Roulement V2'!J44="CC","Garde · Dijon",""),IF('Roulement V2'!I45="CC","Doublon · Beaune",""),IF('Roulement V2'!J45="CC","Doublon · Dijon",""))</f>
      </c>
      <c r="F10" t="str" s="2" cm="1">
        <f t="array" ref="F10">_xlfn.TEXTJOIN(" + ",TRUE,IF('Roulement V2'!K44="CC","Garde · Beaune",""),IF('Roulement V2'!L44="CC","Garde · Dijon",""),IF('Roulement V2'!K45="CC","Doublon · Beaune",""),IF('Roulement V2'!L45="CC","Doublon · Dijon",""))</f>
      </c>
      <c r="G10" t="str" s="2" cm="1">
        <f t="array" ref="G10">_xlfn.TEXTJOIN(" + ",TRUE,IF('Roulement V2'!M44="CC","Garde · Beaune",""),IF('Roulement V2'!N44="CC","Garde · Dijon",""),IF('Roulement V2'!M45="CC","Doublon · Beaune",""),IF('Roulement V2'!N45="CC","Doublon · Dijon",""))</f>
        <v>Garde · Dijon</v>
      </c>
      <c r="H10" t="str" s="2" cm="1">
        <f t="array" ref="H10">_xlfn.TEXTJOIN(" + ",TRUE,IF('Roulement V2'!O44="CC","Garde · Beaune",""),IF('Roulement V2'!P44="CC","Garde · Dijon",""),IF('Roulement V2'!O45="CC","Doublon · Beaune",""),IF('Roulement V2'!P45="CC","Doublon · Dijon",""))</f>
      </c>
      <c r="I10" t="str" s="2" cm="1">
        <f t="array" ref="I10">_xlfn.TEXTJOIN(" + ",TRUE,IF('Roulement V2'!Q44="CC","Garde · Beaune",""),IF('Roulement V2'!R44="CC","Garde · Dijon",""),IF('Roulement V2'!Q45="CC","Doublon · Beaune",""),IF('Roulement V2'!R45="CC","Doublon · Dijon",""))</f>
      </c>
    </row>
    <row r="11" ht="13.55" customHeight="1">
      <c r="A11" t="s" s="30">
        <v>44</v>
      </c>
      <c r="B11" t="str" s="2" cm="1">
        <f t="array" ref="B11">_xlfn.TEXTJOIN(" + ",TRUE,IF('Roulement V2'!C46="CC","Garde · Beaune",""),IF('Roulement V2'!D46="CC","Garde · Dijon",""),IF('Roulement V2'!C47="CC","Doublon · Beaune",""),IF('Roulement V2'!D47="CC","Doublon · Dijon",""))</f>
      </c>
      <c r="C11" t="str" s="2" cm="1">
        <f t="array" ref="C11">_xlfn.TEXTJOIN(" + ",TRUE,IF('Roulement V2'!E46="CC","Garde · Beaune",""),IF('Roulement V2'!F46="CC","Garde · Dijon",""),IF('Roulement V2'!E47="CC","Doublon · Beaune",""),IF('Roulement V2'!F47="CC","Doublon · Dijon",""))</f>
        <v>Garde · Beaune</v>
      </c>
      <c r="D11" t="str" s="2" cm="1">
        <f t="array" ref="D11">_xlfn.TEXTJOIN(" + ",TRUE,IF('Roulement V2'!G46="CC","Garde · Beaune",""),IF('Roulement V2'!H46="CC","Garde · Dijon",""),IF('Roulement V2'!G47="CC","Doublon · Beaune",""),IF('Roulement V2'!H47="CC","Doublon · Dijon",""))</f>
      </c>
      <c r="E11" t="str" s="2" cm="1">
        <f t="array" ref="E11">_xlfn.TEXTJOIN(" + ",TRUE,IF('Roulement V2'!I46="CC","Garde · Beaune",""),IF('Roulement V2'!J46="CC","Garde · Dijon",""),IF('Roulement V2'!I47="CC","Doublon · Beaune",""),IF('Roulement V2'!J47="CC","Doublon · Dijon",""))</f>
      </c>
      <c r="F11" t="str" s="2" cm="1">
        <f t="array" ref="F11">_xlfn.TEXTJOIN(" + ",TRUE,IF('Roulement V2'!K46="CC","Garde · Beaune",""),IF('Roulement V2'!L46="CC","Garde · Dijon",""),IF('Roulement V2'!K47="CC","Doublon · Beaune",""),IF('Roulement V2'!L47="CC","Doublon · Dijon",""))</f>
      </c>
      <c r="G11" t="str" s="2" cm="1">
        <f t="array" ref="G11">_xlfn.TEXTJOIN(" + ",TRUE,IF('Roulement V2'!M46="CC","Garde · Beaune",""),IF('Roulement V2'!N46="CC","Garde · Dijon",""),IF('Roulement V2'!M47="CC","Doublon · Beaune",""),IF('Roulement V2'!N47="CC","Doublon · Dijon",""))</f>
        <v>Garde · Dijon</v>
      </c>
      <c r="H11" t="str" s="2" cm="1">
        <f t="array" ref="H11">_xlfn.TEXTJOIN(" + ",TRUE,IF('Roulement V2'!O46="CC","Garde · Beaune",""),IF('Roulement V2'!P46="CC","Garde · Dijon",""),IF('Roulement V2'!O47="CC","Doublon · Beaune",""),IF('Roulement V2'!P47="CC","Doublon · Dijon",""))</f>
      </c>
      <c r="I11" t="str" s="2" cm="1">
        <f t="array" ref="I11">_xlfn.TEXTJOIN(" + ",TRUE,IF('Roulement V2'!Q46="CC","Garde · Beaune",""),IF('Roulement V2'!R46="CC","Garde · Dijon",""),IF('Roulement V2'!Q47="CC","Doublon · Beaune",""),IF('Roulement V2'!R47="CC","Doublon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4</v>
      </c>
      <c r="C15" s="2"/>
      <c r="D15" t="s" s="30">
        <v>64</v>
      </c>
      <c r="E15" s="31" cm="1">
        <f t="array" ref="E15">COUNTIF(B5:I9,"*Beaune*")</f>
        <v>11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13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12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24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36" customWidth="1"/>
    <col min="2" max="9" width="18" style="36" customWidth="1"/>
    <col min="10" max="16384" width="6.67188" style="36" customWidth="1"/>
  </cols>
  <sheetData>
    <row r="1" ht="15.35" customHeight="1">
      <c r="A1" t="s" s="21">
        <v>72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V2'!C4="XB","J1 · 8h-16h · Beaune",""),IF('Roulement V2'!D4="XB","J1 · 8h-16h · Dijon",""),IF('Roulement V2'!C5="XB","J2 · 14h-22h · Beaune",""),IF('Roulement V2'!D5="XB","J2 · 14h-22h · Dijon",""),IF('Roulement V2'!C6="XB","journée · 8h-18h30 · Beaune",""),IF('Roulement V2'!D6="XB","journée · 8h-18h30 · Dijon",""),IF('Roulement V2'!C7="XB","journée · 8h-18h30 · Beaune",""),IF('Roulement V2'!D7="XB","journée · 8h-18h30 · Dijon",""),IF('Roulement V2'!C8="XB","J5 · 12h-20h · Beaune",""),IF('Roulement V2'!D8="XB","J5 · 12h-20h · Dijon",""),IF('Roulement V2'!C9="XB","préJ2/J6 · 8h-14h · Beaune",""),IF('Roulement V2'!D9="XB","préJ2/J6 · 8h-14h · Dijon",""),IF('Roulement V2'!C10="XB","journée · 8h-18h30 · Beaune",""),IF('Roulement V2'!D10="XB","journée · 8h-18h30 · Dijon",""),IF('Roulement V2'!C11="XB","journée · 8h-18h30 · Beaune",""),IF('Roulement V2'!D11="XB","journée · 8h-18h30 · Dijon",""))</f>
        <v>J2 · 14h-22h · Beaune</v>
      </c>
      <c r="C5" t="str" s="2" cm="1">
        <f t="array" ref="C5">_xlfn.TEXTJOIN(" + ",TRUE,IF('Roulement V2'!E4="XB","J1 · 8h-16h · Beaune",""),IF('Roulement V2'!F4="XB","J1 · 8h-16h · Dijon",""),IF('Roulement V2'!E5="XB","J2 · 14h-22h · Beaune",""),IF('Roulement V2'!F5="XB","J2 · 14h-22h · Dijon",""),IF('Roulement V2'!E6="XB","journée · 8h-18h30 · Beaune",""),IF('Roulement V2'!F6="XB","journée · 8h-18h30 · Dijon",""),IF('Roulement V2'!E7="XB","journée · 8h-18h30 · Beaune",""),IF('Roulement V2'!F7="XB","journée · 8h-18h30 · Dijon",""),IF('Roulement V2'!E8="XB","J5 · 12h-20h · Beaune",""),IF('Roulement V2'!F8="XB","J5 · 12h-20h · Dijon",""),IF('Roulement V2'!E9="XB","préJ2/J6 · 8h-14h · Beaune",""),IF('Roulement V2'!F9="XB","préJ2/J6 · 8h-14h · Dijon",""),IF('Roulement V2'!E10="XB","journée · 8h-18h30 · Beaune",""),IF('Roulement V2'!F10="XB","journée · 8h-18h30 · Dijon",""),IF('Roulement V2'!E11="XB","journée · 8h-18h30 · Beaune",""),IF('Roulement V2'!F11="XB","journée · 8h-18h30 · Dijon",""))</f>
        <v>journée · 8h-18h30 · Dijon</v>
      </c>
      <c r="D5" t="str" s="2" cm="1">
        <f t="array" ref="D5">_xlfn.TEXTJOIN(" + ",TRUE,IF('Roulement V2'!G4="XB","J1 · 8h-16h · Beaune",""),IF('Roulement V2'!H4="XB","J1 · 8h-16h · Dijon",""),IF('Roulement V2'!G5="XB","J2 · 14h-22h · Beaune",""),IF('Roulement V2'!H5="XB","J2 · 14h-22h · Dijon",""),IF('Roulement V2'!G6="XB","journée · 8h-18h30 · Beaune",""),IF('Roulement V2'!H6="XB","journée · 8h-18h30 · Dijon",""),IF('Roulement V2'!G7="XB","journée · 8h-18h30 · Beaune",""),IF('Roulement V2'!H7="XB","journée · 8h-18h30 · Dijon",""),IF('Roulement V2'!G8="XB","J5 · 12h-20h · Beaune",""),IF('Roulement V2'!H8="XB","J5 · 12h-20h · Dijon",""),IF('Roulement V2'!G9="XB","préJ2/J6 · 8h-14h · Beaune",""),IF('Roulement V2'!H9="XB","préJ2/J6 · 8h-14h · Dijon",""),IF('Roulement V2'!G10="XB","journée · 8h-18h30 · Beaune",""),IF('Roulement V2'!H10="XB","journée · 8h-18h30 · Dijon",""),IF('Roulement V2'!G11="XB","journée · 8h-18h30 · Beaune",""),IF('Roulement V2'!H11="XB","journée · 8h-18h30 · Dijon",""))</f>
        <v>J1 · 8h-16h · Beaune</v>
      </c>
      <c r="E5" t="str" s="2" cm="1">
        <f t="array" ref="E5">_xlfn.TEXTJOIN(" + ",TRUE,IF('Roulement V2'!I4="XB","J1 · 8h-16h · Beaune",""),IF('Roulement V2'!J4="XB","J1 · 8h-16h · Dijon",""),IF('Roulement V2'!I5="XB","J2 · 14h-22h · Beaune",""),IF('Roulement V2'!J5="XB","J2 · 14h-22h · Dijon",""),IF('Roulement V2'!I6="XB","journée · 8h-18h30 · Beaune",""),IF('Roulement V2'!J6="XB","journée · 8h-18h30 · Dijon",""),IF('Roulement V2'!I7="XB","journée · 8h-18h30 · Beaune",""),IF('Roulement V2'!J7="XB","journée · 8h-18h30 · Dijon",""),IF('Roulement V2'!I8="XB","J5 · 12h-20h · Beaune",""),IF('Roulement V2'!J8="XB","J5 · 12h-20h · Dijon",""),IF('Roulement V2'!I9="XB","préJ2/J6 · 8h-14h · Beaune",""),IF('Roulement V2'!J9="XB","préJ2/J6 · 8h-14h · Dijon",""),IF('Roulement V2'!I10="XB","journée · 8h-18h30 · Beaune",""),IF('Roulement V2'!J10="XB","journée · 8h-18h30 · Dijon",""),IF('Roulement V2'!I11="XB","journée · 8h-18h30 · Beaune",""),IF('Roulement V2'!J11="XB","journée · 8h-18h30 · Dijon",""))</f>
      </c>
      <c r="F5" t="str" s="2" cm="1">
        <f t="array" ref="F5">_xlfn.TEXTJOIN(" + ",TRUE,IF('Roulement V2'!K4="XB","J1 · 8h-16h · Beaune",""),IF('Roulement V2'!L4="XB","J1 · 8h-16h · Dijon",""),IF('Roulement V2'!K5="XB","J2 · 14h-22h · Beaune",""),IF('Roulement V2'!L5="XB","J2 · 14h-22h · Dijon",""),IF('Roulement V2'!K6="XB","journée · 8h-18h30 · Beaune",""),IF('Roulement V2'!L6="XB","journée · 8h-18h30 · Dijon",""),IF('Roulement V2'!K7="XB","journée · 8h-18h30 · Beaune",""),IF('Roulement V2'!L7="XB","journée · 8h-18h30 · Dijon",""),IF('Roulement V2'!K8="XB","J5 · 12h-20h · Beaune",""),IF('Roulement V2'!L8="XB","J5 · 12h-20h · Dijon",""),IF('Roulement V2'!K9="XB","préJ2/J6 · 8h-14h · Beaune",""),IF('Roulement V2'!L9="XB","préJ2/J6 · 8h-14h · Dijon",""),IF('Roulement V2'!K10="XB","journée · 8h-18h30 · Beaune",""),IF('Roulement V2'!L10="XB","journée · 8h-18h30 · Dijon",""),IF('Roulement V2'!K11="XB","journée · 8h-18h30 · Beaune",""),IF('Roulement V2'!L11="XB","journée · 8h-18h30 · Dijon",""))</f>
        <v>J2 · 14h-22h · Dijon</v>
      </c>
      <c r="G5" t="str" s="2" cm="1">
        <f t="array" ref="G5">_xlfn.TEXTJOIN(" + ",TRUE,IF('Roulement V2'!M4="XB","J1 · 8h-16h · Beaune",""),IF('Roulement V2'!N4="XB","J1 · 8h-16h · Dijon",""),IF('Roulement V2'!M5="XB","J2 · 14h-22h · Beaune",""),IF('Roulement V2'!N5="XB","J2 · 14h-22h · Dijon",""),IF('Roulement V2'!M6="XB","journée · 8h-18h30 · Beaune",""),IF('Roulement V2'!N6="XB","journée · 8h-18h30 · Dijon",""),IF('Roulement V2'!M7="XB","journée · 8h-18h30 · Beaune",""),IF('Roulement V2'!N7="XB","journée · 8h-18h30 · Dijon",""),IF('Roulement V2'!M8="XB","J5 · 12h-20h · Beaune",""),IF('Roulement V2'!N8="XB","J5 · 12h-20h · Dijon",""),IF('Roulement V2'!M9="XB","préJ2/J6 · 8h-14h · Beaune",""),IF('Roulement V2'!N9="XB","préJ2/J6 · 8h-14h · Dijon",""),IF('Roulement V2'!M10="XB","journée · 8h-18h30 · Beaune",""),IF('Roulement V2'!N10="XB","journée · 8h-18h30 · Dijon",""),IF('Roulement V2'!M11="XB","journée · 8h-18h30 · Beaune",""),IF('Roulement V2'!N11="XB","journée · 8h-18h30 · Dijon",""))</f>
        <v>journée · 8h-18h30 · Dijon</v>
      </c>
      <c r="H5" t="str" s="2" cm="1">
        <f t="array" ref="H5">_xlfn.TEXTJOIN(" + ",TRUE,IF('Roulement V2'!O4="XB","J1 · 8h-16h · Beaune",""),IF('Roulement V2'!P4="XB","J1 · 8h-16h · Dijon",""),IF('Roulement V2'!O5="XB","J2 · 14h-22h · Beaune",""),IF('Roulement V2'!P5="XB","J2 · 14h-22h · Dijon",""),IF('Roulement V2'!O6="XB","journée · 8h-18h30 · Beaune",""),IF('Roulement V2'!P6="XB","journée · 8h-18h30 · Dijon",""),IF('Roulement V2'!O7="XB","journée · 8h-18h30 · Beaune",""),IF('Roulement V2'!P7="XB","journée · 8h-18h30 · Dijon",""),IF('Roulement V2'!O8="XB","J5 · 12h-20h · Beaune",""),IF('Roulement V2'!P8="XB","J5 · 12h-20h · Dijon",""),IF('Roulement V2'!O9="XB","préJ2/J6 · 8h-14h · Beaune",""),IF('Roulement V2'!P9="XB","préJ2/J6 · 8h-14h · Dijon",""),IF('Roulement V2'!O10="XB","journée · 8h-18h30 · Beaune",""),IF('Roulement V2'!P10="XB","journée · 8h-18h30 · Dijon",""),IF('Roulement V2'!O11="XB","journée · 8h-18h30 · Beaune",""),IF('Roulement V2'!P11="XB","journée · 8h-18h30 · Dijon",""))</f>
        <v>J1 · 8h-16h · Beaune</v>
      </c>
      <c r="I5" t="str" s="2" cm="1">
        <f t="array" ref="I5">_xlfn.TEXTJOIN(" + ",TRUE,IF('Roulement V2'!Q4="XB","J1 · 8h-16h · Beaune",""),IF('Roulement V2'!R4="XB","J1 · 8h-16h · Dijon",""),IF('Roulement V2'!Q5="XB","J2 · 14h-22h · Beaune",""),IF('Roulement V2'!R5="XB","J2 · 14h-22h · Dijon",""),IF('Roulement V2'!Q6="XB","journée · 8h-18h30 · Beaune",""),IF('Roulement V2'!R6="XB","journée · 8h-18h30 · Dijon",""),IF('Roulement V2'!Q7="XB","journée · 8h-18h30 · Beaune",""),IF('Roulement V2'!R7="XB","journée · 8h-18h30 · Dijon",""),IF('Roulement V2'!Q8="XB","J5 · 12h-20h · Beaune",""),IF('Roulement V2'!R8="XB","J5 · 12h-20h · Dijon",""),IF('Roulement V2'!Q9="XB","préJ2/J6 · 8h-14h · Beaune",""),IF('Roulement V2'!R9="XB","préJ2/J6 · 8h-14h · Dijon",""),IF('Roulement V2'!Q10="XB","journée · 8h-18h30 · Beaune",""),IF('Roulement V2'!R10="XB","journée · 8h-18h30 · Dijon",""),IF('Roulement V2'!Q11="XB","journée · 8h-18h30 · Beaune",""),IF('Roulement V2'!R11="XB","journée · 8h-18h30 · Dijon",""))</f>
      </c>
    </row>
    <row r="6" ht="13.55" customHeight="1">
      <c r="A6" t="s" s="30">
        <v>37</v>
      </c>
      <c r="B6" t="str" s="2" cm="1">
        <f t="array" ref="B6">_xlfn.TEXTJOIN(" + ",TRUE,IF('Roulement V2'!C12="XB","J1 · 8h-16h · Beaune",""),IF('Roulement V2'!D12="XB","J1 · 8h-16h · Dijon",""),IF('Roulement V2'!C13="XB","J2 · 14h-22h · Beaune",""),IF('Roulement V2'!D13="XB","J2 · 14h-22h · Dijon",""),IF('Roulement V2'!C14="XB","journée · 8h-18h30 · Beaune",""),IF('Roulement V2'!D14="XB","journée · 8h-18h30 · Dijon",""),IF('Roulement V2'!C15="XB","journée · 8h-18h30 · Beaune",""),IF('Roulement V2'!D15="XB","journée · 8h-18h30 · Dijon",""),IF('Roulement V2'!C16="XB","J5 · 12h-20h · Beaune",""),IF('Roulement V2'!D16="XB","J5 · 12h-20h · Dijon",""),IF('Roulement V2'!C17="XB","préJ2/J6 · 8h-14h · Beaune",""),IF('Roulement V2'!D17="XB","préJ2/J6 · 8h-14h · Dijon",""),IF('Roulement V2'!C18="XB","journée · 8h-18h30 · Beaune",""),IF('Roulement V2'!D18="XB","journée · 8h-18h30 · Dijon",""),IF('Roulement V2'!C19="XB","journée · 8h-18h30 · Beaune",""),IF('Roulement V2'!D19="XB","journée · 8h-18h30 · Dijon",""))</f>
      </c>
      <c r="C6" t="str" s="2" cm="1">
        <f t="array" ref="C6">_xlfn.TEXTJOIN(" + ",TRUE,IF('Roulement V2'!E12="XB","J1 · 8h-16h · Beaune",""),IF('Roulement V2'!F12="XB","J1 · 8h-16h · Dijon",""),IF('Roulement V2'!E13="XB","J2 · 14h-22h · Beaune",""),IF('Roulement V2'!F13="XB","J2 · 14h-22h · Dijon",""),IF('Roulement V2'!E14="XB","journée · 8h-18h30 · Beaune",""),IF('Roulement V2'!F14="XB","journée · 8h-18h30 · Dijon",""),IF('Roulement V2'!E15="XB","journée · 8h-18h30 · Beaune",""),IF('Roulement V2'!F15="XB","journée · 8h-18h30 · Dijon",""),IF('Roulement V2'!E16="XB","J5 · 12h-20h · Beaune",""),IF('Roulement V2'!F16="XB","J5 · 12h-20h · Dijon",""),IF('Roulement V2'!E17="XB","préJ2/J6 · 8h-14h · Beaune",""),IF('Roulement V2'!F17="XB","préJ2/J6 · 8h-14h · Dijon",""),IF('Roulement V2'!E18="XB","journée · 8h-18h30 · Beaune",""),IF('Roulement V2'!F18="XB","journée · 8h-18h30 · Dijon",""),IF('Roulement V2'!E19="XB","journée · 8h-18h30 · Beaune",""),IF('Roulement V2'!F19="XB","journée · 8h-18h30 · Dijon",""))</f>
      </c>
      <c r="D6" t="str" s="2" cm="1">
        <f t="array" ref="D6">_xlfn.TEXTJOIN(" + ",TRUE,IF('Roulement V2'!G12="XB","J1 · 8h-16h · Beaune",""),IF('Roulement V2'!H12="XB","J1 · 8h-16h · Dijon",""),IF('Roulement V2'!G13="XB","J2 · 14h-22h · Beaune",""),IF('Roulement V2'!H13="XB","J2 · 14h-22h · Dijon",""),IF('Roulement V2'!G14="XB","journée · 8h-18h30 · Beaune",""),IF('Roulement V2'!H14="XB","journée · 8h-18h30 · Dijon",""),IF('Roulement V2'!G15="XB","journée · 8h-18h30 · Beaune",""),IF('Roulement V2'!H15="XB","journée · 8h-18h30 · Dijon",""),IF('Roulement V2'!G16="XB","J5 · 12h-20h · Beaune",""),IF('Roulement V2'!H16="XB","J5 · 12h-20h · Dijon",""),IF('Roulement V2'!G17="XB","préJ2/J6 · 8h-14h · Beaune",""),IF('Roulement V2'!H17="XB","préJ2/J6 · 8h-14h · Dijon",""),IF('Roulement V2'!G18="XB","journée · 8h-18h30 · Beaune",""),IF('Roulement V2'!H18="XB","journée · 8h-18h30 · Dijon",""),IF('Roulement V2'!G19="XB","journée · 8h-18h30 · Beaune",""),IF('Roulement V2'!H19="XB","journée · 8h-18h30 · Dijon",""))</f>
        <v>journée · 8h-18h30 · Dijon</v>
      </c>
      <c r="E6" t="str" s="2" cm="1">
        <f t="array" ref="E6">_xlfn.TEXTJOIN(" + ",TRUE,IF('Roulement V2'!I12="XB","J1 · 8h-16h · Beaune",""),IF('Roulement V2'!J12="XB","J1 · 8h-16h · Dijon",""),IF('Roulement V2'!I13="XB","J2 · 14h-22h · Beaune",""),IF('Roulement V2'!J13="XB","J2 · 14h-22h · Dijon",""),IF('Roulement V2'!I14="XB","journée · 8h-18h30 · Beaune",""),IF('Roulement V2'!J14="XB","journée · 8h-18h30 · Dijon",""),IF('Roulement V2'!I15="XB","journée · 8h-18h30 · Beaune",""),IF('Roulement V2'!J15="XB","journée · 8h-18h30 · Dijon",""),IF('Roulement V2'!I16="XB","J5 · 12h-20h · Beaune",""),IF('Roulement V2'!J16="XB","J5 · 12h-20h · Dijon",""),IF('Roulement V2'!I17="XB","préJ2/J6 · 8h-14h · Beaune",""),IF('Roulement V2'!J17="XB","préJ2/J6 · 8h-14h · Dijon",""),IF('Roulement V2'!I18="XB","journée · 8h-18h30 · Beaune",""),IF('Roulement V2'!J18="XB","journée · 8h-18h30 · Dijon",""),IF('Roulement V2'!I19="XB","journée · 8h-18h30 · Beaune",""),IF('Roulement V2'!J19="XB","journée · 8h-18h30 · Dijon",""))</f>
        <v>journée · 8h-18h30 · Dijon</v>
      </c>
      <c r="F6" t="str" s="2" cm="1">
        <f t="array" ref="F6">_xlfn.TEXTJOIN(" + ",TRUE,IF('Roulement V2'!K12="XB","J1 · 8h-16h · Beaune",""),IF('Roulement V2'!L12="XB","J1 · 8h-16h · Dijon",""),IF('Roulement V2'!K13="XB","J2 · 14h-22h · Beaune",""),IF('Roulement V2'!L13="XB","J2 · 14h-22h · Dijon",""),IF('Roulement V2'!K14="XB","journée · 8h-18h30 · Beaune",""),IF('Roulement V2'!L14="XB","journée · 8h-18h30 · Dijon",""),IF('Roulement V2'!K15="XB","journée · 8h-18h30 · Beaune",""),IF('Roulement V2'!L15="XB","journée · 8h-18h30 · Dijon",""),IF('Roulement V2'!K16="XB","J5 · 12h-20h · Beaune",""),IF('Roulement V2'!L16="XB","J5 · 12h-20h · Dijon",""),IF('Roulement V2'!K17="XB","préJ2/J6 · 8h-14h · Beaune",""),IF('Roulement V2'!L17="XB","préJ2/J6 · 8h-14h · Dijon",""),IF('Roulement V2'!K18="XB","journée · 8h-18h30 · Beaune",""),IF('Roulement V2'!L18="XB","journée · 8h-18h30 · Dijon",""),IF('Roulement V2'!K19="XB","journée · 8h-18h30 · Beaune",""),IF('Roulement V2'!L19="XB","journée · 8h-18h30 · Dijon",""))</f>
      </c>
      <c r="G6" t="str" s="2" cm="1">
        <f t="array" ref="G6">_xlfn.TEXTJOIN(" + ",TRUE,IF('Roulement V2'!M12="XB","J1 · 8h-16h · Beaune",""),IF('Roulement V2'!N12="XB","J1 · 8h-16h · Dijon",""),IF('Roulement V2'!M13="XB","J2 · 14h-22h · Beaune",""),IF('Roulement V2'!N13="XB","J2 · 14h-22h · Dijon",""),IF('Roulement V2'!M14="XB","journée · 8h-18h30 · Beaune",""),IF('Roulement V2'!N14="XB","journée · 8h-18h30 · Dijon",""),IF('Roulement V2'!M15="XB","journée · 8h-18h30 · Beaune",""),IF('Roulement V2'!N15="XB","journée · 8h-18h30 · Dijon",""),IF('Roulement V2'!M16="XB","J5 · 12h-20h · Beaune",""),IF('Roulement V2'!N16="XB","J5 · 12h-20h · Dijon",""),IF('Roulement V2'!M17="XB","préJ2/J6 · 8h-14h · Beaune",""),IF('Roulement V2'!N17="XB","préJ2/J6 · 8h-14h · Dijon",""),IF('Roulement V2'!M18="XB","journée · 8h-18h30 · Beaune",""),IF('Roulement V2'!N18="XB","journée · 8h-18h30 · Dijon",""),IF('Roulement V2'!M19="XB","journée · 8h-18h30 · Beaune",""),IF('Roulement V2'!N19="XB","journée · 8h-18h30 · Dijon",""))</f>
      </c>
      <c r="H6" t="str" s="2" cm="1">
        <f t="array" ref="H6">_xlfn.TEXTJOIN(" + ",TRUE,IF('Roulement V2'!O12="XB","J1 · 8h-16h · Beaune",""),IF('Roulement V2'!P12="XB","J1 · 8h-16h · Dijon",""),IF('Roulement V2'!O13="XB","J2 · 14h-22h · Beaune",""),IF('Roulement V2'!P13="XB","J2 · 14h-22h · Dijon",""),IF('Roulement V2'!O14="XB","journée · 8h-18h30 · Beaune",""),IF('Roulement V2'!P14="XB","journée · 8h-18h30 · Dijon",""),IF('Roulement V2'!O15="XB","journée · 8h-18h30 · Beaune",""),IF('Roulement V2'!P15="XB","journée · 8h-18h30 · Dijon",""),IF('Roulement V2'!O16="XB","J5 · 12h-20h · Beaune",""),IF('Roulement V2'!P16="XB","J5 · 12h-20h · Dijon",""),IF('Roulement V2'!O17="XB","préJ2/J6 · 8h-14h · Beaune",""),IF('Roulement V2'!P17="XB","préJ2/J6 · 8h-14h · Dijon",""),IF('Roulement V2'!O18="XB","journée · 8h-18h30 · Beaune",""),IF('Roulement V2'!P18="XB","journée · 8h-18h30 · Dijon",""),IF('Roulement V2'!O19="XB","journée · 8h-18h30 · Beaune",""),IF('Roulement V2'!P19="XB","journée · 8h-18h30 · Dijon",""))</f>
        <v>journée · 8h-18h30 · Dijon</v>
      </c>
      <c r="I6" t="str" s="2" cm="1">
        <f t="array" ref="I6">_xlfn.TEXTJOIN(" + ",TRUE,IF('Roulement V2'!Q12="XB","J1 · 8h-16h · Beaune",""),IF('Roulement V2'!R12="XB","J1 · 8h-16h · Dijon",""),IF('Roulement V2'!Q13="XB","J2 · 14h-22h · Beaune",""),IF('Roulement V2'!R13="XB","J2 · 14h-22h · Dijon",""),IF('Roulement V2'!Q14="XB","journée · 8h-18h30 · Beaune",""),IF('Roulement V2'!R14="XB","journée · 8h-18h30 · Dijon",""),IF('Roulement V2'!Q15="XB","journée · 8h-18h30 · Beaune",""),IF('Roulement V2'!R15="XB","journée · 8h-18h30 · Dijon",""),IF('Roulement V2'!Q16="XB","J5 · 12h-20h · Beaune",""),IF('Roulement V2'!R16="XB","J5 · 12h-20h · Dijon",""),IF('Roulement V2'!Q17="XB","préJ2/J6 · 8h-14h · Beaune",""),IF('Roulement V2'!R17="XB","préJ2/J6 · 8h-14h · Dijon",""),IF('Roulement V2'!Q18="XB","journée · 8h-18h30 · Beaune",""),IF('Roulement V2'!R18="XB","journée · 8h-18h30 · Dijon",""),IF('Roulement V2'!Q19="XB","journée · 8h-18h30 · Beaune",""),IF('Roulement V2'!R19="XB","journée · 8h-18h30 · Dijon",""))</f>
        <v>J1 · 8h-16h · Beaune</v>
      </c>
    </row>
    <row r="7" ht="13.55" customHeight="1">
      <c r="A7" t="s" s="30">
        <v>38</v>
      </c>
      <c r="B7" t="str" s="2" cm="1">
        <f t="array" ref="B7">_xlfn.TEXTJOIN(" + ",TRUE,IF('Roulement V2'!C20="XB","J1 · 8h-16h · Beaune",""),IF('Roulement V2'!D20="XB","J1 · 8h-16h · Dijon",""),IF('Roulement V2'!C21="XB","J2 · 14h-22h · Beaune",""),IF('Roulement V2'!D21="XB","J2 · 14h-22h · Dijon",""),IF('Roulement V2'!C22="XB","journée · 8h-18h30 · Beaune",""),IF('Roulement V2'!D22="XB","journée · 8h-18h30 · Dijon",""),IF('Roulement V2'!C23="XB","journée · 8h-18h30 · Beaune",""),IF('Roulement V2'!D23="XB","journée · 8h-18h30 · Dijon",""),IF('Roulement V2'!C24="XB","J5 · 12h-20h · Beaune",""),IF('Roulement V2'!D24="XB","J5 · 12h-20h · Dijon",""),IF('Roulement V2'!C25="XB","préJ2/J6 · 8h-14h · Beaune",""),IF('Roulement V2'!D25="XB","préJ2/J6 · 8h-14h · Dijon",""),IF('Roulement V2'!C26="XB","journée · 8h-18h30 · Beaune",""),IF('Roulement V2'!D26="XB","journée · 8h-18h30 · Dijon",""),IF('Roulement V2'!C27="XB","journée · 8h-18h30 · Beaune",""),IF('Roulement V2'!D27="XB","journée · 8h-18h30 · Dijon",""))</f>
      </c>
      <c r="C7" t="str" s="2" cm="1">
        <f t="array" ref="C7">_xlfn.TEXTJOIN(" + ",TRUE,IF('Roulement V2'!E20="XB","J1 · 8h-16h · Beaune",""),IF('Roulement V2'!F20="XB","J1 · 8h-16h · Dijon",""),IF('Roulement V2'!E21="XB","J2 · 14h-22h · Beaune",""),IF('Roulement V2'!F21="XB","J2 · 14h-22h · Dijon",""),IF('Roulement V2'!E22="XB","journée · 8h-18h30 · Beaune",""),IF('Roulement V2'!F22="XB","journée · 8h-18h30 · Dijon",""),IF('Roulement V2'!E23="XB","journée · 8h-18h30 · Beaune",""),IF('Roulement V2'!F23="XB","journée · 8h-18h30 · Dijon",""),IF('Roulement V2'!E24="XB","J5 · 12h-20h · Beaune",""),IF('Roulement V2'!F24="XB","J5 · 12h-20h · Dijon",""),IF('Roulement V2'!E25="XB","préJ2/J6 · 8h-14h · Beaune",""),IF('Roulement V2'!F25="XB","préJ2/J6 · 8h-14h · Dijon",""),IF('Roulement V2'!E26="XB","journée · 8h-18h30 · Beaune",""),IF('Roulement V2'!F26="XB","journée · 8h-18h30 · Dijon",""),IF('Roulement V2'!E27="XB","journée · 8h-18h30 · Beaune",""),IF('Roulement V2'!F27="XB","journée · 8h-18h30 · Dijon",""))</f>
        <v>journée · 8h-18h30 · Beaune</v>
      </c>
      <c r="D7" t="str" s="2" cm="1">
        <f t="array" ref="D7">_xlfn.TEXTJOIN(" + ",TRUE,IF('Roulement V2'!G20="XB","J1 · 8h-16h · Beaune",""),IF('Roulement V2'!H20="XB","J1 · 8h-16h · Dijon",""),IF('Roulement V2'!G21="XB","J2 · 14h-22h · Beaune",""),IF('Roulement V2'!H21="XB","J2 · 14h-22h · Dijon",""),IF('Roulement V2'!G22="XB","journée · 8h-18h30 · Beaune",""),IF('Roulement V2'!H22="XB","journée · 8h-18h30 · Dijon",""),IF('Roulement V2'!G23="XB","journée · 8h-18h30 · Beaune",""),IF('Roulement V2'!H23="XB","journée · 8h-18h30 · Dijon",""),IF('Roulement V2'!G24="XB","J5 · 12h-20h · Beaune",""),IF('Roulement V2'!H24="XB","J5 · 12h-20h · Dijon",""),IF('Roulement V2'!G25="XB","préJ2/J6 · 8h-14h · Beaune",""),IF('Roulement V2'!H25="XB","préJ2/J6 · 8h-14h · Dijon",""),IF('Roulement V2'!G26="XB","journée · 8h-18h30 · Beaune",""),IF('Roulement V2'!H26="XB","journée · 8h-18h30 · Dijon",""),IF('Roulement V2'!G27="XB","journée · 8h-18h30 · Beaune",""),IF('Roulement V2'!H27="XB","journée · 8h-18h30 · Dijon",""))</f>
      </c>
      <c r="E7" t="str" s="2" cm="1">
        <f t="array" ref="E7">_xlfn.TEXTJOIN(" + ",TRUE,IF('Roulement V2'!I20="XB","J1 · 8h-16h · Beaune",""),IF('Roulement V2'!J20="XB","J1 · 8h-16h · Dijon",""),IF('Roulement V2'!I21="XB","J2 · 14h-22h · Beaune",""),IF('Roulement V2'!J21="XB","J2 · 14h-22h · Dijon",""),IF('Roulement V2'!I22="XB","journée · 8h-18h30 · Beaune",""),IF('Roulement V2'!J22="XB","journée · 8h-18h30 · Dijon",""),IF('Roulement V2'!I23="XB","journée · 8h-18h30 · Beaune",""),IF('Roulement V2'!J23="XB","journée · 8h-18h30 · Dijon",""),IF('Roulement V2'!I24="XB","J5 · 12h-20h · Beaune",""),IF('Roulement V2'!J24="XB","J5 · 12h-20h · Dijon",""),IF('Roulement V2'!I25="XB","préJ2/J6 · 8h-14h · Beaune",""),IF('Roulement V2'!J25="XB","préJ2/J6 · 8h-14h · Dijon",""),IF('Roulement V2'!I26="XB","journée · 8h-18h30 · Beaune",""),IF('Roulement V2'!J26="XB","journée · 8h-18h30 · Dijon",""),IF('Roulement V2'!I27="XB","journée · 8h-18h30 · Beaune",""),IF('Roulement V2'!J27="XB","journée · 8h-18h30 · Dijon",""))</f>
        <v>J2 · 14h-22h · Beaune</v>
      </c>
      <c r="F7" t="str" s="2" cm="1">
        <f t="array" ref="F7">_xlfn.TEXTJOIN(" + ",TRUE,IF('Roulement V2'!K20="XB","J1 · 8h-16h · Beaune",""),IF('Roulement V2'!L20="XB","J1 · 8h-16h · Dijon",""),IF('Roulement V2'!K21="XB","J2 · 14h-22h · Beaune",""),IF('Roulement V2'!L21="XB","J2 · 14h-22h · Dijon",""),IF('Roulement V2'!K22="XB","journée · 8h-18h30 · Beaune",""),IF('Roulement V2'!L22="XB","journée · 8h-18h30 · Dijon",""),IF('Roulement V2'!K23="XB","journée · 8h-18h30 · Beaune",""),IF('Roulement V2'!L23="XB","journée · 8h-18h30 · Dijon",""),IF('Roulement V2'!K24="XB","J5 · 12h-20h · Beaune",""),IF('Roulement V2'!L24="XB","J5 · 12h-20h · Dijon",""),IF('Roulement V2'!K25="XB","préJ2/J6 · 8h-14h · Beaune",""),IF('Roulement V2'!L25="XB","préJ2/J6 · 8h-14h · Dijon",""),IF('Roulement V2'!K26="XB","journée · 8h-18h30 · Beaune",""),IF('Roulement V2'!L26="XB","journée · 8h-18h30 · Dijon",""),IF('Roulement V2'!K27="XB","journée · 8h-18h30 · Beaune",""),IF('Roulement V2'!L27="XB","journée · 8h-18h30 · Dijon",""))</f>
      </c>
      <c r="G7" t="str" s="2" cm="1">
        <f t="array" ref="G7">_xlfn.TEXTJOIN(" + ",TRUE,IF('Roulement V2'!M20="XB","J1 · 8h-16h · Beaune",""),IF('Roulement V2'!N20="XB","J1 · 8h-16h · Dijon",""),IF('Roulement V2'!M21="XB","J2 · 14h-22h · Beaune",""),IF('Roulement V2'!N21="XB","J2 · 14h-22h · Dijon",""),IF('Roulement V2'!M22="XB","journée · 8h-18h30 · Beaune",""),IF('Roulement V2'!N22="XB","journée · 8h-18h30 · Dijon",""),IF('Roulement V2'!M23="XB","journée · 8h-18h30 · Beaune",""),IF('Roulement V2'!N23="XB","journée · 8h-18h30 · Dijon",""),IF('Roulement V2'!M24="XB","J5 · 12h-20h · Beaune",""),IF('Roulement V2'!N24="XB","J5 · 12h-20h · Dijon",""),IF('Roulement V2'!M25="XB","préJ2/J6 · 8h-14h · Beaune",""),IF('Roulement V2'!N25="XB","préJ2/J6 · 8h-14h · Dijon",""),IF('Roulement V2'!M26="XB","journée · 8h-18h30 · Beaune",""),IF('Roulement V2'!N26="XB","journée · 8h-18h30 · Dijon",""),IF('Roulement V2'!M27="XB","journée · 8h-18h30 · Beaune",""),IF('Roulement V2'!N27="XB","journée · 8h-18h30 · Dijon",""))</f>
        <v>journée · 8h-18h30 · Beaune</v>
      </c>
      <c r="H7" t="str" s="2" cm="1">
        <f t="array" ref="H7">_xlfn.TEXTJOIN(" + ",TRUE,IF('Roulement V2'!O20="XB","J1 · 8h-16h · Beaune",""),IF('Roulement V2'!P20="XB","J1 · 8h-16h · Dijon",""),IF('Roulement V2'!O21="XB","J2 · 14h-22h · Beaune",""),IF('Roulement V2'!P21="XB","J2 · 14h-22h · Dijon",""),IF('Roulement V2'!O22="XB","journée · 8h-18h30 · Beaune",""),IF('Roulement V2'!P22="XB","journée · 8h-18h30 · Dijon",""),IF('Roulement V2'!O23="XB","journée · 8h-18h30 · Beaune",""),IF('Roulement V2'!P23="XB","journée · 8h-18h30 · Dijon",""),IF('Roulement V2'!O24="XB","J5 · 12h-20h · Beaune",""),IF('Roulement V2'!P24="XB","J5 · 12h-20h · Dijon",""),IF('Roulement V2'!O25="XB","préJ2/J6 · 8h-14h · Beaune",""),IF('Roulement V2'!P25="XB","préJ2/J6 · 8h-14h · Dijon",""),IF('Roulement V2'!O26="XB","journée · 8h-18h30 · Beaune",""),IF('Roulement V2'!P26="XB","journée · 8h-18h30 · Dijon",""),IF('Roulement V2'!O27="XB","journée · 8h-18h30 · Beaune",""),IF('Roulement V2'!P27="XB","journée · 8h-18h30 · Dijon",""))</f>
      </c>
      <c r="I7" t="str" s="2" cm="1">
        <f t="array" ref="I7">_xlfn.TEXTJOIN(" + ",TRUE,IF('Roulement V2'!Q20="XB","J1 · 8h-16h · Beaune",""),IF('Roulement V2'!R20="XB","J1 · 8h-16h · Dijon",""),IF('Roulement V2'!Q21="XB","J2 · 14h-22h · Beaune",""),IF('Roulement V2'!R21="XB","J2 · 14h-22h · Dijon",""),IF('Roulement V2'!Q22="XB","journée · 8h-18h30 · Beaune",""),IF('Roulement V2'!R22="XB","journée · 8h-18h30 · Dijon",""),IF('Roulement V2'!Q23="XB","journée · 8h-18h30 · Beaune",""),IF('Roulement V2'!R23="XB","journée · 8h-18h30 · Dijon",""),IF('Roulement V2'!Q24="XB","J5 · 12h-20h · Beaune",""),IF('Roulement V2'!R24="XB","J5 · 12h-20h · Dijon",""),IF('Roulement V2'!Q25="XB","préJ2/J6 · 8h-14h · Beaune",""),IF('Roulement V2'!R25="XB","préJ2/J6 · 8h-14h · Dijon",""),IF('Roulement V2'!Q26="XB","journée · 8h-18h30 · Beaune",""),IF('Roulement V2'!R26="XB","journée · 8h-18h30 · Dijon",""),IF('Roulement V2'!Q27="XB","journée · 8h-18h30 · Beaune",""),IF('Roulement V2'!R27="XB","journée · 8h-18h30 · Dijon",""))</f>
        <v>J2 · 14h-22h · Beaune</v>
      </c>
    </row>
    <row r="8" ht="13.55" customHeight="1">
      <c r="A8" t="s" s="30">
        <v>39</v>
      </c>
      <c r="B8" t="str" s="2" cm="1">
        <f t="array" ref="B8">_xlfn.TEXTJOIN(" + ",TRUE,IF('Roulement V2'!C28="XB","J1 · 8h-16h · Beaune",""),IF('Roulement V2'!D28="XB","J1 · 8h-16h · Dijon",""),IF('Roulement V2'!C29="XB","J2 · 14h-22h · Beaune",""),IF('Roulement V2'!D29="XB","J2 · 14h-22h · Dijon",""),IF('Roulement V2'!C30="XB","journée · 8h-18h30 · Beaune",""),IF('Roulement V2'!D30="XB","journée · 8h-18h30 · Dijon",""),IF('Roulement V2'!C31="XB","journée · 8h-18h30 · Beaune",""),IF('Roulement V2'!D31="XB","journée · 8h-18h30 · Dijon",""),IF('Roulement V2'!C32="XB","J5 · 12h-20h · Beaune",""),IF('Roulement V2'!D32="XB","J5 · 12h-20h · Dijon",""),IF('Roulement V2'!C33="XB","préJ2/J6 · 8h-14h · Beaune",""),IF('Roulement V2'!D33="XB","préJ2/J6 · 8h-14h · Dijon",""),IF('Roulement V2'!C34="XB","journée · 8h-18h30 · Beaune",""),IF('Roulement V2'!D34="XB","journée · 8h-18h30 · Dijon",""),IF('Roulement V2'!C35="XB","journée · 8h-18h30 · Beaune",""),IF('Roulement V2'!D35="XB","journée · 8h-18h30 · Dijon",""))</f>
        <v>J2 · 14h-22h · Dijon</v>
      </c>
      <c r="C8" t="str" s="2" cm="1">
        <f t="array" ref="C8">_xlfn.TEXTJOIN(" + ",TRUE,IF('Roulement V2'!E28="XB","J1 · 8h-16h · Beaune",""),IF('Roulement V2'!F28="XB","J1 · 8h-16h · Dijon",""),IF('Roulement V2'!E29="XB","J2 · 14h-22h · Beaune",""),IF('Roulement V2'!F29="XB","J2 · 14h-22h · Dijon",""),IF('Roulement V2'!E30="XB","journée · 8h-18h30 · Beaune",""),IF('Roulement V2'!F30="XB","journée · 8h-18h30 · Dijon",""),IF('Roulement V2'!E31="XB","journée · 8h-18h30 · Beaune",""),IF('Roulement V2'!F31="XB","journée · 8h-18h30 · Dijon",""),IF('Roulement V2'!E32="XB","J5 · 12h-20h · Beaune",""),IF('Roulement V2'!F32="XB","J5 · 12h-20h · Dijon",""),IF('Roulement V2'!E33="XB","préJ2/J6 · 8h-14h · Beaune",""),IF('Roulement V2'!F33="XB","préJ2/J6 · 8h-14h · Dijon",""),IF('Roulement V2'!E34="XB","journée · 8h-18h30 · Beaune",""),IF('Roulement V2'!F34="XB","journée · 8h-18h30 · Dijon",""),IF('Roulement V2'!E35="XB","journée · 8h-18h30 · Beaune",""),IF('Roulement V2'!F35="XB","journée · 8h-18h30 · Dijon",""))</f>
        <v>journée · 8h-18h30 · Dijon</v>
      </c>
      <c r="D8" t="str" s="2" cm="1">
        <f t="array" ref="D8">_xlfn.TEXTJOIN(" + ",TRUE,IF('Roulement V2'!G28="XB","J1 · 8h-16h · Beaune",""),IF('Roulement V2'!H28="XB","J1 · 8h-16h · Dijon",""),IF('Roulement V2'!G29="XB","J2 · 14h-22h · Beaune",""),IF('Roulement V2'!H29="XB","J2 · 14h-22h · Dijon",""),IF('Roulement V2'!G30="XB","journée · 8h-18h30 · Beaune",""),IF('Roulement V2'!H30="XB","journée · 8h-18h30 · Dijon",""),IF('Roulement V2'!G31="XB","journée · 8h-18h30 · Beaune",""),IF('Roulement V2'!H31="XB","journée · 8h-18h30 · Dijon",""),IF('Roulement V2'!G32="XB","J5 · 12h-20h · Beaune",""),IF('Roulement V2'!H32="XB","J5 · 12h-20h · Dijon",""),IF('Roulement V2'!G33="XB","préJ2/J6 · 8h-14h · Beaune",""),IF('Roulement V2'!H33="XB","préJ2/J6 · 8h-14h · Dijon",""),IF('Roulement V2'!G34="XB","journée · 8h-18h30 · Beaune",""),IF('Roulement V2'!H34="XB","journée · 8h-18h30 · Dijon",""),IF('Roulement V2'!G35="XB","journée · 8h-18h30 · Beaune",""),IF('Roulement V2'!H35="XB","journée · 8h-18h30 · Dijon",""))</f>
        <v>J2 · 14h-22h · Dijon</v>
      </c>
      <c r="E8" t="str" s="2" cm="1">
        <f t="array" ref="E8">_xlfn.TEXTJOIN(" + ",TRUE,IF('Roulement V2'!I28="XB","J1 · 8h-16h · Beaune",""),IF('Roulement V2'!J28="XB","J1 · 8h-16h · Dijon",""),IF('Roulement V2'!I29="XB","J2 · 14h-22h · Beaune",""),IF('Roulement V2'!J29="XB","J2 · 14h-22h · Dijon",""),IF('Roulement V2'!I30="XB","journée · 8h-18h30 · Beaune",""),IF('Roulement V2'!J30="XB","journée · 8h-18h30 · Dijon",""),IF('Roulement V2'!I31="XB","journée · 8h-18h30 · Beaune",""),IF('Roulement V2'!J31="XB","journée · 8h-18h30 · Dijon",""),IF('Roulement V2'!I32="XB","J5 · 12h-20h · Beaune",""),IF('Roulement V2'!J32="XB","J5 · 12h-20h · Dijon",""),IF('Roulement V2'!I33="XB","préJ2/J6 · 8h-14h · Beaune",""),IF('Roulement V2'!J33="XB","préJ2/J6 · 8h-14h · Dijon",""),IF('Roulement V2'!I34="XB","journée · 8h-18h30 · Beaune",""),IF('Roulement V2'!J34="XB","journée · 8h-18h30 · Dijon",""),IF('Roulement V2'!I35="XB","journée · 8h-18h30 · Beaune",""),IF('Roulement V2'!J35="XB","journée · 8h-18h30 · Dijon",""))</f>
        <v>journée · 8h-18h30 · Beaune</v>
      </c>
      <c r="F8" t="str" s="2" cm="1">
        <f t="array" ref="F8">_xlfn.TEXTJOIN(" + ",TRUE,IF('Roulement V2'!K28="XB","J1 · 8h-16h · Beaune",""),IF('Roulement V2'!L28="XB","J1 · 8h-16h · Dijon",""),IF('Roulement V2'!K29="XB","J2 · 14h-22h · Beaune",""),IF('Roulement V2'!L29="XB","J2 · 14h-22h · Dijon",""),IF('Roulement V2'!K30="XB","journée · 8h-18h30 · Beaune",""),IF('Roulement V2'!L30="XB","journée · 8h-18h30 · Dijon",""),IF('Roulement V2'!K31="XB","journée · 8h-18h30 · Beaune",""),IF('Roulement V2'!L31="XB","journée · 8h-18h30 · Dijon",""),IF('Roulement V2'!K32="XB","J5 · 12h-20h · Beaune",""),IF('Roulement V2'!L32="XB","J5 · 12h-20h · Dijon",""),IF('Roulement V2'!K33="XB","préJ2/J6 · 8h-14h · Beaune",""),IF('Roulement V2'!L33="XB","préJ2/J6 · 8h-14h · Dijon",""),IF('Roulement V2'!K34="XB","journée · 8h-18h30 · Beaune",""),IF('Roulement V2'!L34="XB","journée · 8h-18h30 · Dijon",""),IF('Roulement V2'!K35="XB","journée · 8h-18h30 · Beaune",""),IF('Roulement V2'!L35="XB","journée · 8h-18h30 · Dijon",""))</f>
        <v>J2 · 14h-22h · Beaune</v>
      </c>
      <c r="G8" t="str" s="2" cm="1">
        <f t="array" ref="G8">_xlfn.TEXTJOIN(" + ",TRUE,IF('Roulement V2'!M28="XB","J1 · 8h-16h · Beaune",""),IF('Roulement V2'!N28="XB","J1 · 8h-16h · Dijon",""),IF('Roulement V2'!M29="XB","J2 · 14h-22h · Beaune",""),IF('Roulement V2'!N29="XB","J2 · 14h-22h · Dijon",""),IF('Roulement V2'!M30="XB","journée · 8h-18h30 · Beaune",""),IF('Roulement V2'!N30="XB","journée · 8h-18h30 · Dijon",""),IF('Roulement V2'!M31="XB","journée · 8h-18h30 · Beaune",""),IF('Roulement V2'!N31="XB","journée · 8h-18h30 · Dijon",""),IF('Roulement V2'!M32="XB","J5 · 12h-20h · Beaune",""),IF('Roulement V2'!N32="XB","J5 · 12h-20h · Dijon",""),IF('Roulement V2'!M33="XB","préJ2/J6 · 8h-14h · Beaune",""),IF('Roulement V2'!N33="XB","préJ2/J6 · 8h-14h · Dijon",""),IF('Roulement V2'!M34="XB","journée · 8h-18h30 · Beaune",""),IF('Roulement V2'!N34="XB","journée · 8h-18h30 · Dijon",""),IF('Roulement V2'!M35="XB","journée · 8h-18h30 · Beaune",""),IF('Roulement V2'!N35="XB","journée · 8h-18h30 · Dijon",""))</f>
        <v>journée · 8h-18h30 · Beaune</v>
      </c>
      <c r="H8" t="str" s="2" cm="1">
        <f t="array" ref="H8">_xlfn.TEXTJOIN(" + ",TRUE,IF('Roulement V2'!O28="XB","J1 · 8h-16h · Beaune",""),IF('Roulement V2'!P28="XB","J1 · 8h-16h · Dijon",""),IF('Roulement V2'!O29="XB","J2 · 14h-22h · Beaune",""),IF('Roulement V2'!P29="XB","J2 · 14h-22h · Dijon",""),IF('Roulement V2'!O30="XB","journée · 8h-18h30 · Beaune",""),IF('Roulement V2'!P30="XB","journée · 8h-18h30 · Dijon",""),IF('Roulement V2'!O31="XB","journée · 8h-18h30 · Beaune",""),IF('Roulement V2'!P31="XB","journée · 8h-18h30 · Dijon",""),IF('Roulement V2'!O32="XB","J5 · 12h-20h · Beaune",""),IF('Roulement V2'!P32="XB","J5 · 12h-20h · Dijon",""),IF('Roulement V2'!O33="XB","préJ2/J6 · 8h-14h · Beaune",""),IF('Roulement V2'!P33="XB","préJ2/J6 · 8h-14h · Dijon",""),IF('Roulement V2'!O34="XB","journée · 8h-18h30 · Beaune",""),IF('Roulement V2'!P34="XB","journée · 8h-18h30 · Dijon",""),IF('Roulement V2'!O35="XB","journée · 8h-18h30 · Beaune",""),IF('Roulement V2'!P35="XB","journée · 8h-18h30 · Dijon",""))</f>
        <v>J2 · 14h-22h · Dijon</v>
      </c>
      <c r="I8" t="str" s="2" cm="1">
        <f t="array" ref="I8">_xlfn.TEXTJOIN(" + ",TRUE,IF('Roulement V2'!Q28="XB","J1 · 8h-16h · Beaune",""),IF('Roulement V2'!R28="XB","J1 · 8h-16h · Dijon",""),IF('Roulement V2'!Q29="XB","J2 · 14h-22h · Beaune",""),IF('Roulement V2'!R29="XB","J2 · 14h-22h · Dijon",""),IF('Roulement V2'!Q30="XB","journée · 8h-18h30 · Beaune",""),IF('Roulement V2'!R30="XB","journée · 8h-18h30 · Dijon",""),IF('Roulement V2'!Q31="XB","journée · 8h-18h30 · Beaune",""),IF('Roulement V2'!R31="XB","journée · 8h-18h30 · Dijon",""),IF('Roulement V2'!Q32="XB","J5 · 12h-20h · Beaune",""),IF('Roulement V2'!R32="XB","J5 · 12h-20h · Dijon",""),IF('Roulement V2'!Q33="XB","préJ2/J6 · 8h-14h · Beaune",""),IF('Roulement V2'!R33="XB","préJ2/J6 · 8h-14h · Dijon",""),IF('Roulement V2'!Q34="XB","journée · 8h-18h30 · Beaune",""),IF('Roulement V2'!R34="XB","journée · 8h-18h30 · Dijon",""),IF('Roulement V2'!Q35="XB","journée · 8h-18h30 · Beaune",""),IF('Roulement V2'!R35="XB","journée · 8h-18h30 · Dijon",""))</f>
        <v>journée · 8h-18h30 · Beaune</v>
      </c>
    </row>
    <row r="9" ht="13.55" customHeight="1">
      <c r="A9" t="s" s="30">
        <v>40</v>
      </c>
      <c r="B9" t="str" s="2" cm="1">
        <f t="array" ref="B9">_xlfn.TEXTJOIN(" + ",TRUE,IF('Roulement V2'!C36="XB","J1 · 8h-16h · Beaune",""),IF('Roulement V2'!D36="XB","J1 · 8h-16h · Dijon",""),IF('Roulement V2'!C37="XB","J2 · 14h-22h · Beaune",""),IF('Roulement V2'!D37="XB","J2 · 14h-22h · Dijon",""),IF('Roulement V2'!C38="XB","journée · 8h-18h30 · Beaune",""),IF('Roulement V2'!D38="XB","journée · 8h-18h30 · Dijon",""),IF('Roulement V2'!C39="XB","journée · 8h-18h30 · Beaune",""),IF('Roulement V2'!D39="XB","journée · 8h-18h30 · Dijon",""),IF('Roulement V2'!C40="XB","J5 · 12h-20h · Beaune",""),IF('Roulement V2'!D40="XB","J5 · 12h-20h · Dijon",""),IF('Roulement V2'!C41="XB","préJ2/J6 · 8h-14h · Beaune",""),IF('Roulement V2'!D41="XB","préJ2/J6 · 8h-14h · Dijon",""),IF('Roulement V2'!C42="XB","journée · 8h-18h30 · Beaune",""),IF('Roulement V2'!D42="XB","journée · 8h-18h30 · Dijon",""),IF('Roulement V2'!C43="XB","journée · 8h-18h30 · Beaune",""),IF('Roulement V2'!D43="XB","journée · 8h-18h30 · Dijon",""))</f>
        <v>J1 · 8h-16h · Beaune</v>
      </c>
      <c r="C9" t="str" s="2" cm="1">
        <f t="array" ref="C9">_xlfn.TEXTJOIN(" + ",TRUE,IF('Roulement V2'!E36="XB","J1 · 8h-16h · Beaune",""),IF('Roulement V2'!F36="XB","J1 · 8h-16h · Dijon",""),IF('Roulement V2'!E37="XB","J2 · 14h-22h · Beaune",""),IF('Roulement V2'!F37="XB","J2 · 14h-22h · Dijon",""),IF('Roulement V2'!E38="XB","journée · 8h-18h30 · Beaune",""),IF('Roulement V2'!F38="XB","journée · 8h-18h30 · Dijon",""),IF('Roulement V2'!E39="XB","journée · 8h-18h30 · Beaune",""),IF('Roulement V2'!F39="XB","journée · 8h-18h30 · Dijon",""),IF('Roulement V2'!E40="XB","J5 · 12h-20h · Beaune",""),IF('Roulement V2'!F40="XB","J5 · 12h-20h · Dijon",""),IF('Roulement V2'!E41="XB","préJ2/J6 · 8h-14h · Beaune",""),IF('Roulement V2'!F41="XB","préJ2/J6 · 8h-14h · Dijon",""),IF('Roulement V2'!E42="XB","journée · 8h-18h30 · Beaune",""),IF('Roulement V2'!F42="XB","journée · 8h-18h30 · Dijon",""),IF('Roulement V2'!E43="XB","journée · 8h-18h30 · Beaune",""),IF('Roulement V2'!F43="XB","journée · 8h-18h30 · Dijon",""))</f>
        <v>J1 · 8h-16h · Beaune</v>
      </c>
      <c r="D9" t="str" s="2" cm="1">
        <f t="array" ref="D9">_xlfn.TEXTJOIN(" + ",TRUE,IF('Roulement V2'!G36="XB","J1 · 8h-16h · Beaune",""),IF('Roulement V2'!H36="XB","J1 · 8h-16h · Dijon",""),IF('Roulement V2'!G37="XB","J2 · 14h-22h · Beaune",""),IF('Roulement V2'!H37="XB","J2 · 14h-22h · Dijon",""),IF('Roulement V2'!G38="XB","journée · 8h-18h30 · Beaune",""),IF('Roulement V2'!H38="XB","journée · 8h-18h30 · Dijon",""),IF('Roulement V2'!G39="XB","journée · 8h-18h30 · Beaune",""),IF('Roulement V2'!H39="XB","journée · 8h-18h30 · Dijon",""),IF('Roulement V2'!G40="XB","J5 · 12h-20h · Beaune",""),IF('Roulement V2'!H40="XB","J5 · 12h-20h · Dijon",""),IF('Roulement V2'!G41="XB","préJ2/J6 · 8h-14h · Beaune",""),IF('Roulement V2'!H41="XB","préJ2/J6 · 8h-14h · Dijon",""),IF('Roulement V2'!G42="XB","journée · 8h-18h30 · Beaune",""),IF('Roulement V2'!H42="XB","journée · 8h-18h30 · Dijon",""),IF('Roulement V2'!G43="XB","journée · 8h-18h30 · Beaune",""),IF('Roulement V2'!H43="XB","journée · 8h-18h30 · Dijon",""))</f>
      </c>
      <c r="E9" t="str" s="2" cm="1">
        <f t="array" ref="E9">_xlfn.TEXTJOIN(" + ",TRUE,IF('Roulement V2'!I36="XB","J1 · 8h-16h · Beaune",""),IF('Roulement V2'!J36="XB","J1 · 8h-16h · Dijon",""),IF('Roulement V2'!I37="XB","J2 · 14h-22h · Beaune",""),IF('Roulement V2'!J37="XB","J2 · 14h-22h · Dijon",""),IF('Roulement V2'!I38="XB","journée · 8h-18h30 · Beaune",""),IF('Roulement V2'!J38="XB","journée · 8h-18h30 · Dijon",""),IF('Roulement V2'!I39="XB","journée · 8h-18h30 · Beaune",""),IF('Roulement V2'!J39="XB","journée · 8h-18h30 · Dijon",""),IF('Roulement V2'!I40="XB","J5 · 12h-20h · Beaune",""),IF('Roulement V2'!J40="XB","J5 · 12h-20h · Dijon",""),IF('Roulement V2'!I41="XB","préJ2/J6 · 8h-14h · Beaune",""),IF('Roulement V2'!J41="XB","préJ2/J6 · 8h-14h · Dijon",""),IF('Roulement V2'!I42="XB","journée · 8h-18h30 · Beaune",""),IF('Roulement V2'!J42="XB","journée · 8h-18h30 · Dijon",""),IF('Roulement V2'!I43="XB","journée · 8h-18h30 · Beaune",""),IF('Roulement V2'!J43="XB","journée · 8h-18h30 · Dijon",""))</f>
      </c>
      <c r="F9" t="str" s="2" cm="1">
        <f t="array" ref="F9">_xlfn.TEXTJOIN(" + ",TRUE,IF('Roulement V2'!K36="XB","J1 · 8h-16h · Beaune",""),IF('Roulement V2'!L36="XB","J1 · 8h-16h · Dijon",""),IF('Roulement V2'!K37="XB","J2 · 14h-22h · Beaune",""),IF('Roulement V2'!L37="XB","J2 · 14h-22h · Dijon",""),IF('Roulement V2'!K38="XB","journée · 8h-18h30 · Beaune",""),IF('Roulement V2'!L38="XB","journée · 8h-18h30 · Dijon",""),IF('Roulement V2'!K39="XB","journée · 8h-18h30 · Beaune",""),IF('Roulement V2'!L39="XB","journée · 8h-18h30 · Dijon",""),IF('Roulement V2'!K40="XB","J5 · 12h-20h · Beaune",""),IF('Roulement V2'!L40="XB","J5 · 12h-20h · Dijon",""),IF('Roulement V2'!K41="XB","préJ2/J6 · 8h-14h · Beaune",""),IF('Roulement V2'!L41="XB","préJ2/J6 · 8h-14h · Dijon",""),IF('Roulement V2'!K42="XB","journée · 8h-18h30 · Beaune",""),IF('Roulement V2'!L42="XB","journée · 8h-18h30 · Dijon",""),IF('Roulement V2'!K43="XB","journée · 8h-18h30 · Beaune",""),IF('Roulement V2'!L43="XB","journée · 8h-18h30 · Dijon",""))</f>
        <v>J1 · 8h-16h · Beaune</v>
      </c>
      <c r="G9" t="str" s="2" cm="1">
        <f t="array" ref="G9">_xlfn.TEXTJOIN(" + ",TRUE,IF('Roulement V2'!M36="XB","J1 · 8h-16h · Beaune",""),IF('Roulement V2'!N36="XB","J1 · 8h-16h · Dijon",""),IF('Roulement V2'!M37="XB","J2 · 14h-22h · Beaune",""),IF('Roulement V2'!N37="XB","J2 · 14h-22h · Dijon",""),IF('Roulement V2'!M38="XB","journée · 8h-18h30 · Beaune",""),IF('Roulement V2'!N38="XB","journée · 8h-18h30 · Dijon",""),IF('Roulement V2'!M39="XB","journée · 8h-18h30 · Beaune",""),IF('Roulement V2'!N39="XB","journée · 8h-18h30 · Dijon",""),IF('Roulement V2'!M40="XB","J5 · 12h-20h · Beaune",""),IF('Roulement V2'!N40="XB","J5 · 12h-20h · Dijon",""),IF('Roulement V2'!M41="XB","préJ2/J6 · 8h-14h · Beaune",""),IF('Roulement V2'!N41="XB","préJ2/J6 · 8h-14h · Dijon",""),IF('Roulement V2'!M42="XB","journée · 8h-18h30 · Beaune",""),IF('Roulement V2'!N42="XB","journée · 8h-18h30 · Dijon",""),IF('Roulement V2'!M43="XB","journée · 8h-18h30 · Beaune",""),IF('Roulement V2'!N43="XB","journée · 8h-18h30 · Dijon",""))</f>
        <v>journée · 8h-18h30 · Dijon</v>
      </c>
      <c r="H9" t="str" s="2" cm="1">
        <f t="array" ref="H9">_xlfn.TEXTJOIN(" + ",TRUE,IF('Roulement V2'!O36="XB","J1 · 8h-16h · Beaune",""),IF('Roulement V2'!P36="XB","J1 · 8h-16h · Dijon",""),IF('Roulement V2'!O37="XB","J2 · 14h-22h · Beaune",""),IF('Roulement V2'!P37="XB","J2 · 14h-22h · Dijon",""),IF('Roulement V2'!O38="XB","journée · 8h-18h30 · Beaune",""),IF('Roulement V2'!P38="XB","journée · 8h-18h30 · Dijon",""),IF('Roulement V2'!O39="XB","journée · 8h-18h30 · Beaune",""),IF('Roulement V2'!P39="XB","journée · 8h-18h30 · Dijon",""),IF('Roulement V2'!O40="XB","J5 · 12h-20h · Beaune",""),IF('Roulement V2'!P40="XB","J5 · 12h-20h · Dijon",""),IF('Roulement V2'!O41="XB","préJ2/J6 · 8h-14h · Beaune",""),IF('Roulement V2'!P41="XB","préJ2/J6 · 8h-14h · Dijon",""),IF('Roulement V2'!O42="XB","journée · 8h-18h30 · Beaune",""),IF('Roulement V2'!P42="XB","journée · 8h-18h30 · Dijon",""),IF('Roulement V2'!O43="XB","journée · 8h-18h30 · Beaune",""),IF('Roulement V2'!P43="XB","journée · 8h-18h30 · Dijon",""))</f>
      </c>
      <c r="I9" t="str" s="2" cm="1">
        <f t="array" ref="I9">_xlfn.TEXTJOIN(" + ",TRUE,IF('Roulement V2'!Q36="XB","J1 · 8h-16h · Beaune",""),IF('Roulement V2'!R36="XB","J1 · 8h-16h · Dijon",""),IF('Roulement V2'!Q37="XB","J2 · 14h-22h · Beaune",""),IF('Roulement V2'!R37="XB","J2 · 14h-22h · Dijon",""),IF('Roulement V2'!Q38="XB","journée · 8h-18h30 · Beaune",""),IF('Roulement V2'!R38="XB","journée · 8h-18h30 · Dijon",""),IF('Roulement V2'!Q39="XB","journée · 8h-18h30 · Beaune",""),IF('Roulement V2'!R39="XB","journée · 8h-18h30 · Dijon",""),IF('Roulement V2'!Q40="XB","J5 · 12h-20h · Beaune",""),IF('Roulement V2'!R40="XB","J5 · 12h-20h · Dijon",""),IF('Roulement V2'!Q41="XB","préJ2/J6 · 8h-14h · Beaune",""),IF('Roulement V2'!R41="XB","préJ2/J6 · 8h-14h · Dijon",""),IF('Roulement V2'!Q42="XB","journée · 8h-18h30 · Beaune",""),IF('Roulement V2'!R42="XB","journée · 8h-18h30 · Dijon",""),IF('Roulement V2'!Q43="XB","journée · 8h-18h30 · Beaune",""),IF('Roulement V2'!R43="XB","journée · 8h-18h30 · Dijon",""))</f>
      </c>
    </row>
    <row r="10" ht="13.55" customHeight="1">
      <c r="A10" t="s" s="30">
        <v>41</v>
      </c>
      <c r="B10" t="str" s="2" cm="1">
        <f t="array" ref="B10">_xlfn.TEXTJOIN(" + ",TRUE,IF('Roulement V2'!C44="XB","Garde · Beaune",""),IF('Roulement V2'!D44="XB","Garde · Dijon",""),IF('Roulement V2'!C45="XB","Doublon · Beaune",""),IF('Roulement V2'!D45="XB","Doublon · Dijon",""))</f>
      </c>
      <c r="C10" t="str" s="2" cm="1">
        <f t="array" ref="C10">_xlfn.TEXTJOIN(" + ",TRUE,IF('Roulement V2'!E44="XB","Garde · Beaune",""),IF('Roulement V2'!F44="XB","Garde · Dijon",""),IF('Roulement V2'!E45="XB","Doublon · Beaune",""),IF('Roulement V2'!F45="XB","Doublon · Dijon",""))</f>
      </c>
      <c r="D10" t="str" s="2" cm="1">
        <f t="array" ref="D10">_xlfn.TEXTJOIN(" + ",TRUE,IF('Roulement V2'!G44="XB","Garde · Beaune",""),IF('Roulement V2'!H44="XB","Garde · Dijon",""),IF('Roulement V2'!G45="XB","Doublon · Beaune",""),IF('Roulement V2'!H45="XB","Doublon · Dijon",""))</f>
        <v>Garde · Beaune</v>
      </c>
      <c r="E10" t="str" s="2" cm="1">
        <f t="array" ref="E10">_xlfn.TEXTJOIN(" + ",TRUE,IF('Roulement V2'!I44="XB","Garde · Beaune",""),IF('Roulement V2'!J44="XB","Garde · Dijon",""),IF('Roulement V2'!I45="XB","Doublon · Beaune",""),IF('Roulement V2'!J45="XB","Doublon · Dijon",""))</f>
      </c>
      <c r="F10" t="str" s="2" cm="1">
        <f t="array" ref="F10">_xlfn.TEXTJOIN(" + ",TRUE,IF('Roulement V2'!K44="XB","Garde · Beaune",""),IF('Roulement V2'!L44="XB","Garde · Dijon",""),IF('Roulement V2'!K45="XB","Doublon · Beaune",""),IF('Roulement V2'!L45="XB","Doublon · Dijon",""))</f>
      </c>
      <c r="G10" t="str" s="2" cm="1">
        <f t="array" ref="G10">_xlfn.TEXTJOIN(" + ",TRUE,IF('Roulement V2'!M44="XB","Garde · Beaune",""),IF('Roulement V2'!N44="XB","Garde · Dijon",""),IF('Roulement V2'!M45="XB","Doublon · Beaune",""),IF('Roulement V2'!N45="XB","Doublon · Dijon",""))</f>
      </c>
      <c r="H10" t="str" s="2" cm="1">
        <f t="array" ref="H10">_xlfn.TEXTJOIN(" + ",TRUE,IF('Roulement V2'!O44="XB","Garde · Beaune",""),IF('Roulement V2'!P44="XB","Garde · Dijon",""),IF('Roulement V2'!O45="XB","Doublon · Beaune",""),IF('Roulement V2'!P45="XB","Doublon · Dijon",""))</f>
        <v>Garde · Dijon</v>
      </c>
      <c r="I10" t="str" s="2" cm="1">
        <f t="array" ref="I10">_xlfn.TEXTJOIN(" + ",TRUE,IF('Roulement V2'!Q44="XB","Garde · Beaune",""),IF('Roulement V2'!R44="XB","Garde · Dijon",""),IF('Roulement V2'!Q45="XB","Doublon · Beaune",""),IF('Roulement V2'!R45="XB","Doublon · Dijon",""))</f>
      </c>
    </row>
    <row r="11" ht="13.55" customHeight="1">
      <c r="A11" t="s" s="30">
        <v>44</v>
      </c>
      <c r="B11" t="str" s="2" cm="1">
        <f t="array" ref="B11">_xlfn.TEXTJOIN(" + ",TRUE,IF('Roulement V2'!C46="XB","Garde · Beaune",""),IF('Roulement V2'!D46="XB","Garde · Dijon",""),IF('Roulement V2'!C47="XB","Doublon · Beaune",""),IF('Roulement V2'!D47="XB","Doublon · Dijon",""))</f>
      </c>
      <c r="C11" t="str" s="2" cm="1">
        <f t="array" ref="C11">_xlfn.TEXTJOIN(" + ",TRUE,IF('Roulement V2'!E46="XB","Garde · Beaune",""),IF('Roulement V2'!F46="XB","Garde · Dijon",""),IF('Roulement V2'!E47="XB","Doublon · Beaune",""),IF('Roulement V2'!F47="XB","Doublon · Dijon",""))</f>
      </c>
      <c r="D11" t="str" s="2" cm="1">
        <f t="array" ref="D11">_xlfn.TEXTJOIN(" + ",TRUE,IF('Roulement V2'!G46="XB","Garde · Beaune",""),IF('Roulement V2'!H46="XB","Garde · Dijon",""),IF('Roulement V2'!G47="XB","Doublon · Beaune",""),IF('Roulement V2'!H47="XB","Doublon · Dijon",""))</f>
        <v>Garde · Beaune</v>
      </c>
      <c r="E11" t="str" s="2" cm="1">
        <f t="array" ref="E11">_xlfn.TEXTJOIN(" + ",TRUE,IF('Roulement V2'!I46="XB","Garde · Beaune",""),IF('Roulement V2'!J46="XB","Garde · Dijon",""),IF('Roulement V2'!I47="XB","Doublon · Beaune",""),IF('Roulement V2'!J47="XB","Doublon · Dijon",""))</f>
      </c>
      <c r="F11" t="str" s="2" cm="1">
        <f t="array" ref="F11">_xlfn.TEXTJOIN(" + ",TRUE,IF('Roulement V2'!K46="XB","Garde · Beaune",""),IF('Roulement V2'!L46="XB","Garde · Dijon",""),IF('Roulement V2'!K47="XB","Doublon · Beaune",""),IF('Roulement V2'!L47="XB","Doublon · Dijon",""))</f>
      </c>
      <c r="G11" t="str" s="2" cm="1">
        <f t="array" ref="G11">_xlfn.TEXTJOIN(" + ",TRUE,IF('Roulement V2'!M46="XB","Garde · Beaune",""),IF('Roulement V2'!N46="XB","Garde · Dijon",""),IF('Roulement V2'!M47="XB","Doublon · Beaune",""),IF('Roulement V2'!N47="XB","Doublon · Dijon",""))</f>
      </c>
      <c r="H11" t="str" s="2" cm="1">
        <f t="array" ref="H11">_xlfn.TEXTJOIN(" + ",TRUE,IF('Roulement V2'!O46="XB","Garde · Beaune",""),IF('Roulement V2'!P46="XB","Garde · Dijon",""),IF('Roulement V2'!O47="XB","Doublon · Beaune",""),IF('Roulement V2'!P47="XB","Doublon · Dijon",""))</f>
        <v>Garde · Dijon</v>
      </c>
      <c r="I11" t="str" s="2" cm="1">
        <f t="array" ref="I11">_xlfn.TEXTJOIN(" + ",TRUE,IF('Roulement V2'!Q46="XB","Garde · Beaune",""),IF('Roulement V2'!R46="XB","Garde · Dijon",""),IF('Roulement V2'!Q47="XB","Doublon · Beaune",""),IF('Roulement V2'!R47="XB","Doublon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6</v>
      </c>
      <c r="C15" s="2"/>
      <c r="D15" t="s" s="30">
        <v>64</v>
      </c>
      <c r="E15" s="31" cm="1">
        <f t="array" ref="E15">COUNTIF(B5:I9,"*Beaune*")</f>
        <v>15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11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12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26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37" customWidth="1"/>
    <col min="2" max="9" width="18" style="37" customWidth="1"/>
    <col min="10" max="16384" width="6.67188" style="37" customWidth="1"/>
  </cols>
  <sheetData>
    <row r="1" ht="15.35" customHeight="1">
      <c r="A1" t="s" s="21">
        <v>73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V2'!C4="TE","J1 · 8h-16h · Beaune",""),IF('Roulement V2'!D4="TE","J1 · 8h-16h · Dijon",""),IF('Roulement V2'!C5="TE","J2 · 14h-22h · Beaune",""),IF('Roulement V2'!D5="TE","J2 · 14h-22h · Dijon",""),IF('Roulement V2'!C6="TE","journée · 8h-18h30 · Beaune",""),IF('Roulement V2'!D6="TE","journée · 8h-18h30 · Dijon",""),IF('Roulement V2'!C7="TE","journée · 8h-18h30 · Beaune",""),IF('Roulement V2'!D7="TE","journée · 8h-18h30 · Dijon",""),IF('Roulement V2'!C8="TE","J5 · 12h-20h · Beaune",""),IF('Roulement V2'!D8="TE","J5 · 12h-20h · Dijon",""),IF('Roulement V2'!C9="TE","préJ2/J6 · 8h-14h · Beaune",""),IF('Roulement V2'!D9="TE","préJ2/J6 · 8h-14h · Dijon",""),IF('Roulement V2'!C10="TE","journée · 8h-18h30 · Beaune",""),IF('Roulement V2'!D10="TE","journée · 8h-18h30 · Dijon",""),IF('Roulement V2'!C11="TE","journée · 8h-18h30 · Beaune",""),IF('Roulement V2'!D11="TE","journée · 8h-18h30 · Dijon",""))</f>
        <v>J2 · 14h-22h · Dijon</v>
      </c>
      <c r="C5" t="str" s="2" cm="1">
        <f t="array" ref="C5">_xlfn.TEXTJOIN(" + ",TRUE,IF('Roulement V2'!E4="TE","J1 · 8h-16h · Beaune",""),IF('Roulement V2'!F4="TE","J1 · 8h-16h · Dijon",""),IF('Roulement V2'!E5="TE","J2 · 14h-22h · Beaune",""),IF('Roulement V2'!F5="TE","J2 · 14h-22h · Dijon",""),IF('Roulement V2'!E6="TE","journée · 8h-18h30 · Beaune",""),IF('Roulement V2'!F6="TE","journée · 8h-18h30 · Dijon",""),IF('Roulement V2'!E7="TE","journée · 8h-18h30 · Beaune",""),IF('Roulement V2'!F7="TE","journée · 8h-18h30 · Dijon",""),IF('Roulement V2'!E8="TE","J5 · 12h-20h · Beaune",""),IF('Roulement V2'!F8="TE","J5 · 12h-20h · Dijon",""),IF('Roulement V2'!E9="TE","préJ2/J6 · 8h-14h · Beaune",""),IF('Roulement V2'!F9="TE","préJ2/J6 · 8h-14h · Dijon",""),IF('Roulement V2'!E10="TE","journée · 8h-18h30 · Beaune",""),IF('Roulement V2'!F10="TE","journée · 8h-18h30 · Dijon",""),IF('Roulement V2'!E11="TE","journée · 8h-18h30 · Beaune",""),IF('Roulement V2'!F11="TE","journée · 8h-18h30 · Dijon",""))</f>
        <v>J1 · 8h-16h · Beaune</v>
      </c>
      <c r="D5" t="str" s="2" cm="1">
        <f t="array" ref="D5">_xlfn.TEXTJOIN(" + ",TRUE,IF('Roulement V2'!G4="TE","J1 · 8h-16h · Beaune",""),IF('Roulement V2'!H4="TE","J1 · 8h-16h · Dijon",""),IF('Roulement V2'!G5="TE","J2 · 14h-22h · Beaune",""),IF('Roulement V2'!H5="TE","J2 · 14h-22h · Dijon",""),IF('Roulement V2'!G6="TE","journée · 8h-18h30 · Beaune",""),IF('Roulement V2'!H6="TE","journée · 8h-18h30 · Dijon",""),IF('Roulement V2'!G7="TE","journée · 8h-18h30 · Beaune",""),IF('Roulement V2'!H7="TE","journée · 8h-18h30 · Dijon",""),IF('Roulement V2'!G8="TE","J5 · 12h-20h · Beaune",""),IF('Roulement V2'!H8="TE","J5 · 12h-20h · Dijon",""),IF('Roulement V2'!G9="TE","préJ2/J6 · 8h-14h · Beaune",""),IF('Roulement V2'!H9="TE","préJ2/J6 · 8h-14h · Dijon",""),IF('Roulement V2'!G10="TE","journée · 8h-18h30 · Beaune",""),IF('Roulement V2'!H10="TE","journée · 8h-18h30 · Dijon",""),IF('Roulement V2'!G11="TE","journée · 8h-18h30 · Beaune",""),IF('Roulement V2'!H11="TE","journée · 8h-18h30 · Dijon",""))</f>
        <v>journée · 8h-18h30 · Dijon</v>
      </c>
      <c r="E5" t="str" s="2" cm="1">
        <f t="array" ref="E5">_xlfn.TEXTJOIN(" + ",TRUE,IF('Roulement V2'!I4="TE","J1 · 8h-16h · Beaune",""),IF('Roulement V2'!J4="TE","J1 · 8h-16h · Dijon",""),IF('Roulement V2'!I5="TE","J2 · 14h-22h · Beaune",""),IF('Roulement V2'!J5="TE","J2 · 14h-22h · Dijon",""),IF('Roulement V2'!I6="TE","journée · 8h-18h30 · Beaune",""),IF('Roulement V2'!J6="TE","journée · 8h-18h30 · Dijon",""),IF('Roulement V2'!I7="TE","journée · 8h-18h30 · Beaune",""),IF('Roulement V2'!J7="TE","journée · 8h-18h30 · Dijon",""),IF('Roulement V2'!I8="TE","J5 · 12h-20h · Beaune",""),IF('Roulement V2'!J8="TE","J5 · 12h-20h · Dijon",""),IF('Roulement V2'!I9="TE","préJ2/J6 · 8h-14h · Beaune",""),IF('Roulement V2'!J9="TE","préJ2/J6 · 8h-14h · Dijon",""),IF('Roulement V2'!I10="TE","journée · 8h-18h30 · Beaune",""),IF('Roulement V2'!J10="TE","journée · 8h-18h30 · Dijon",""),IF('Roulement V2'!I11="TE","journée · 8h-18h30 · Beaune",""),IF('Roulement V2'!J11="TE","journée · 8h-18h30 · Dijon",""))</f>
      </c>
      <c r="F5" t="str" s="2" cm="1">
        <f t="array" ref="F5">_xlfn.TEXTJOIN(" + ",TRUE,IF('Roulement V2'!K4="TE","J1 · 8h-16h · Beaune",""),IF('Roulement V2'!L4="TE","J1 · 8h-16h · Dijon",""),IF('Roulement V2'!K5="TE","J2 · 14h-22h · Beaune",""),IF('Roulement V2'!L5="TE","J2 · 14h-22h · Dijon",""),IF('Roulement V2'!K6="TE","journée · 8h-18h30 · Beaune",""),IF('Roulement V2'!L6="TE","journée · 8h-18h30 · Dijon",""),IF('Roulement V2'!K7="TE","journée · 8h-18h30 · Beaune",""),IF('Roulement V2'!L7="TE","journée · 8h-18h30 · Dijon",""),IF('Roulement V2'!K8="TE","J5 · 12h-20h · Beaune",""),IF('Roulement V2'!L8="TE","J5 · 12h-20h · Dijon",""),IF('Roulement V2'!K9="TE","préJ2/J6 · 8h-14h · Beaune",""),IF('Roulement V2'!L9="TE","préJ2/J6 · 8h-14h · Dijon",""),IF('Roulement V2'!K10="TE","journée · 8h-18h30 · Beaune",""),IF('Roulement V2'!L10="TE","journée · 8h-18h30 · Dijon",""),IF('Roulement V2'!K11="TE","journée · 8h-18h30 · Beaune",""),IF('Roulement V2'!L11="TE","journée · 8h-18h30 · Dijon",""))</f>
        <v>journée · 8h-18h30 · Dijon</v>
      </c>
      <c r="G5" t="str" s="2" cm="1">
        <f t="array" ref="G5">_xlfn.TEXTJOIN(" + ",TRUE,IF('Roulement V2'!M4="TE","J1 · 8h-16h · Beaune",""),IF('Roulement V2'!N4="TE","J1 · 8h-16h · Dijon",""),IF('Roulement V2'!M5="TE","J2 · 14h-22h · Beaune",""),IF('Roulement V2'!N5="TE","J2 · 14h-22h · Dijon",""),IF('Roulement V2'!M6="TE","journée · 8h-18h30 · Beaune",""),IF('Roulement V2'!N6="TE","journée · 8h-18h30 · Dijon",""),IF('Roulement V2'!M7="TE","journée · 8h-18h30 · Beaune",""),IF('Roulement V2'!N7="TE","journée · 8h-18h30 · Dijon",""),IF('Roulement V2'!M8="TE","J5 · 12h-20h · Beaune",""),IF('Roulement V2'!N8="TE","J5 · 12h-20h · Dijon",""),IF('Roulement V2'!M9="TE","préJ2/J6 · 8h-14h · Beaune",""),IF('Roulement V2'!N9="TE","préJ2/J6 · 8h-14h · Dijon",""),IF('Roulement V2'!M10="TE","journée · 8h-18h30 · Beaune",""),IF('Roulement V2'!N10="TE","journée · 8h-18h30 · Dijon",""),IF('Roulement V2'!M11="TE","journée · 8h-18h30 · Beaune",""),IF('Roulement V2'!N11="TE","journée · 8h-18h30 · Dijon",""))</f>
        <v>journée · 8h-18h30 · Dijon</v>
      </c>
      <c r="H5" t="str" s="2" cm="1">
        <f t="array" ref="H5">_xlfn.TEXTJOIN(" + ",TRUE,IF('Roulement V2'!O4="TE","J1 · 8h-16h · Beaune",""),IF('Roulement V2'!P4="TE","J1 · 8h-16h · Dijon",""),IF('Roulement V2'!O5="TE","J2 · 14h-22h · Beaune",""),IF('Roulement V2'!P5="TE","J2 · 14h-22h · Dijon",""),IF('Roulement V2'!O6="TE","journée · 8h-18h30 · Beaune",""),IF('Roulement V2'!P6="TE","journée · 8h-18h30 · Dijon",""),IF('Roulement V2'!O7="TE","journée · 8h-18h30 · Beaune",""),IF('Roulement V2'!P7="TE","journée · 8h-18h30 · Dijon",""),IF('Roulement V2'!O8="TE","J5 · 12h-20h · Beaune",""),IF('Roulement V2'!P8="TE","J5 · 12h-20h · Dijon",""),IF('Roulement V2'!O9="TE","préJ2/J6 · 8h-14h · Beaune",""),IF('Roulement V2'!P9="TE","préJ2/J6 · 8h-14h · Dijon",""),IF('Roulement V2'!O10="TE","journée · 8h-18h30 · Beaune",""),IF('Roulement V2'!P10="TE","journée · 8h-18h30 · Dijon",""),IF('Roulement V2'!O11="TE","journée · 8h-18h30 · Beaune",""),IF('Roulement V2'!P11="TE","journée · 8h-18h30 · Dijon",""))</f>
        <v>journée · 8h-18h30 · Beaune</v>
      </c>
      <c r="I5" t="str" s="2" cm="1">
        <f t="array" ref="I5">_xlfn.TEXTJOIN(" + ",TRUE,IF('Roulement V2'!Q4="TE","J1 · 8h-16h · Beaune",""),IF('Roulement V2'!R4="TE","J1 · 8h-16h · Dijon",""),IF('Roulement V2'!Q5="TE","J2 · 14h-22h · Beaune",""),IF('Roulement V2'!R5="TE","J2 · 14h-22h · Dijon",""),IF('Roulement V2'!Q6="TE","journée · 8h-18h30 · Beaune",""),IF('Roulement V2'!R6="TE","journée · 8h-18h30 · Dijon",""),IF('Roulement V2'!Q7="TE","journée · 8h-18h30 · Beaune",""),IF('Roulement V2'!R7="TE","journée · 8h-18h30 · Dijon",""),IF('Roulement V2'!Q8="TE","J5 · 12h-20h · Beaune",""),IF('Roulement V2'!R8="TE","J5 · 12h-20h · Dijon",""),IF('Roulement V2'!Q9="TE","préJ2/J6 · 8h-14h · Beaune",""),IF('Roulement V2'!R9="TE","préJ2/J6 · 8h-14h · Dijon",""),IF('Roulement V2'!Q10="TE","journée · 8h-18h30 · Beaune",""),IF('Roulement V2'!R10="TE","journée · 8h-18h30 · Dijon",""),IF('Roulement V2'!Q11="TE","journée · 8h-18h30 · Beaune",""),IF('Roulement V2'!R11="TE","journée · 8h-18h30 · Dijon",""))</f>
      </c>
    </row>
    <row r="6" ht="13.55" customHeight="1">
      <c r="A6" t="s" s="30">
        <v>37</v>
      </c>
      <c r="B6" t="str" s="2" cm="1">
        <f t="array" ref="B6">_xlfn.TEXTJOIN(" + ",TRUE,IF('Roulement V2'!C12="TE","J1 · 8h-16h · Beaune",""),IF('Roulement V2'!D12="TE","J1 · 8h-16h · Dijon",""),IF('Roulement V2'!C13="TE","J2 · 14h-22h · Beaune",""),IF('Roulement V2'!D13="TE","J2 · 14h-22h · Dijon",""),IF('Roulement V2'!C14="TE","journée · 8h-18h30 · Beaune",""),IF('Roulement V2'!D14="TE","journée · 8h-18h30 · Dijon",""),IF('Roulement V2'!C15="TE","journée · 8h-18h30 · Beaune",""),IF('Roulement V2'!D15="TE","journée · 8h-18h30 · Dijon",""),IF('Roulement V2'!C16="TE","J5 · 12h-20h · Beaune",""),IF('Roulement V2'!D16="TE","J5 · 12h-20h · Dijon",""),IF('Roulement V2'!C17="TE","préJ2/J6 · 8h-14h · Beaune",""),IF('Roulement V2'!D17="TE","préJ2/J6 · 8h-14h · Dijon",""),IF('Roulement V2'!C18="TE","journée · 8h-18h30 · Beaune",""),IF('Roulement V2'!D18="TE","journée · 8h-18h30 · Dijon",""),IF('Roulement V2'!C19="TE","journée · 8h-18h30 · Beaune",""),IF('Roulement V2'!D19="TE","journée · 8h-18h30 · Dijon",""))</f>
      </c>
      <c r="C6" t="str" s="2" cm="1">
        <f t="array" ref="C6">_xlfn.TEXTJOIN(" + ",TRUE,IF('Roulement V2'!E12="TE","J1 · 8h-16h · Beaune",""),IF('Roulement V2'!F12="TE","J1 · 8h-16h · Dijon",""),IF('Roulement V2'!E13="TE","J2 · 14h-22h · Beaune",""),IF('Roulement V2'!F13="TE","J2 · 14h-22h · Dijon",""),IF('Roulement V2'!E14="TE","journée · 8h-18h30 · Beaune",""),IF('Roulement V2'!F14="TE","journée · 8h-18h30 · Dijon",""),IF('Roulement V2'!E15="TE","journée · 8h-18h30 · Beaune",""),IF('Roulement V2'!F15="TE","journée · 8h-18h30 · Dijon",""),IF('Roulement V2'!E16="TE","J5 · 12h-20h · Beaune",""),IF('Roulement V2'!F16="TE","J5 · 12h-20h · Dijon",""),IF('Roulement V2'!E17="TE","préJ2/J6 · 8h-14h · Beaune",""),IF('Roulement V2'!F17="TE","préJ2/J6 · 8h-14h · Dijon",""),IF('Roulement V2'!E18="TE","journée · 8h-18h30 · Beaune",""),IF('Roulement V2'!F18="TE","journée · 8h-18h30 · Dijon",""),IF('Roulement V2'!E19="TE","journée · 8h-18h30 · Beaune",""),IF('Roulement V2'!F19="TE","journée · 8h-18h30 · Dijon",""))</f>
        <v>J2 · 14h-22h · Beaune</v>
      </c>
      <c r="D6" t="str" s="2" cm="1">
        <f t="array" ref="D6">_xlfn.TEXTJOIN(" + ",TRUE,IF('Roulement V2'!G12="TE","J1 · 8h-16h · Beaune",""),IF('Roulement V2'!H12="TE","J1 · 8h-16h · Dijon",""),IF('Roulement V2'!G13="TE","J2 · 14h-22h · Beaune",""),IF('Roulement V2'!H13="TE","J2 · 14h-22h · Dijon",""),IF('Roulement V2'!G14="TE","journée · 8h-18h30 · Beaune",""),IF('Roulement V2'!H14="TE","journée · 8h-18h30 · Dijon",""),IF('Roulement V2'!G15="TE","journée · 8h-18h30 · Beaune",""),IF('Roulement V2'!H15="TE","journée · 8h-18h30 · Dijon",""),IF('Roulement V2'!G16="TE","J5 · 12h-20h · Beaune",""),IF('Roulement V2'!H16="TE","J5 · 12h-20h · Dijon",""),IF('Roulement V2'!G17="TE","préJ2/J6 · 8h-14h · Beaune",""),IF('Roulement V2'!H17="TE","préJ2/J6 · 8h-14h · Dijon",""),IF('Roulement V2'!G18="TE","journée · 8h-18h30 · Beaune",""),IF('Roulement V2'!H18="TE","journée · 8h-18h30 · Dijon",""),IF('Roulement V2'!G19="TE","journée · 8h-18h30 · Beaune",""),IF('Roulement V2'!H19="TE","journée · 8h-18h30 · Dijon",""))</f>
        <v>journée · 8h-18h30 · Dijon</v>
      </c>
      <c r="E6" t="str" s="2" cm="1">
        <f t="array" ref="E6">_xlfn.TEXTJOIN(" + ",TRUE,IF('Roulement V2'!I12="TE","J1 · 8h-16h · Beaune",""),IF('Roulement V2'!J12="TE","J1 · 8h-16h · Dijon",""),IF('Roulement V2'!I13="TE","J2 · 14h-22h · Beaune",""),IF('Roulement V2'!J13="TE","J2 · 14h-22h · Dijon",""),IF('Roulement V2'!I14="TE","journée · 8h-18h30 · Beaune",""),IF('Roulement V2'!J14="TE","journée · 8h-18h30 · Dijon",""),IF('Roulement V2'!I15="TE","journée · 8h-18h30 · Beaune",""),IF('Roulement V2'!J15="TE","journée · 8h-18h30 · Dijon",""),IF('Roulement V2'!I16="TE","J5 · 12h-20h · Beaune",""),IF('Roulement V2'!J16="TE","J5 · 12h-20h · Dijon",""),IF('Roulement V2'!I17="TE","préJ2/J6 · 8h-14h · Beaune",""),IF('Roulement V2'!J17="TE","préJ2/J6 · 8h-14h · Dijon",""),IF('Roulement V2'!I18="TE","journée · 8h-18h30 · Beaune",""),IF('Roulement V2'!J18="TE","journée · 8h-18h30 · Dijon",""),IF('Roulement V2'!I19="TE","journée · 8h-18h30 · Beaune",""),IF('Roulement V2'!J19="TE","journée · 8h-18h30 · Dijon",""))</f>
      </c>
      <c r="F6" t="str" s="2" cm="1">
        <f t="array" ref="F6">_xlfn.TEXTJOIN(" + ",TRUE,IF('Roulement V2'!K12="TE","J1 · 8h-16h · Beaune",""),IF('Roulement V2'!L12="TE","J1 · 8h-16h · Dijon",""),IF('Roulement V2'!K13="TE","J2 · 14h-22h · Beaune",""),IF('Roulement V2'!L13="TE","J2 · 14h-22h · Dijon",""),IF('Roulement V2'!K14="TE","journée · 8h-18h30 · Beaune",""),IF('Roulement V2'!L14="TE","journée · 8h-18h30 · Dijon",""),IF('Roulement V2'!K15="TE","journée · 8h-18h30 · Beaune",""),IF('Roulement V2'!L15="TE","journée · 8h-18h30 · Dijon",""),IF('Roulement V2'!K16="TE","J5 · 12h-20h · Beaune",""),IF('Roulement V2'!L16="TE","J5 · 12h-20h · Dijon",""),IF('Roulement V2'!K17="TE","préJ2/J6 · 8h-14h · Beaune",""),IF('Roulement V2'!L17="TE","préJ2/J6 · 8h-14h · Dijon",""),IF('Roulement V2'!K18="TE","journée · 8h-18h30 · Beaune",""),IF('Roulement V2'!L18="TE","journée · 8h-18h30 · Dijon",""),IF('Roulement V2'!K19="TE","journée · 8h-18h30 · Beaune",""),IF('Roulement V2'!L19="TE","journée · 8h-18h30 · Dijon",""))</f>
      </c>
      <c r="G6" t="str" s="2" cm="1">
        <f t="array" ref="G6">_xlfn.TEXTJOIN(" + ",TRUE,IF('Roulement V2'!M12="TE","J1 · 8h-16h · Beaune",""),IF('Roulement V2'!N12="TE","J1 · 8h-16h · Dijon",""),IF('Roulement V2'!M13="TE","J2 · 14h-22h · Beaune",""),IF('Roulement V2'!N13="TE","J2 · 14h-22h · Dijon",""),IF('Roulement V2'!M14="TE","journée · 8h-18h30 · Beaune",""),IF('Roulement V2'!N14="TE","journée · 8h-18h30 · Dijon",""),IF('Roulement V2'!M15="TE","journée · 8h-18h30 · Beaune",""),IF('Roulement V2'!N15="TE","journée · 8h-18h30 · Dijon",""),IF('Roulement V2'!M16="TE","J5 · 12h-20h · Beaune",""),IF('Roulement V2'!N16="TE","J5 · 12h-20h · Dijon",""),IF('Roulement V2'!M17="TE","préJ2/J6 · 8h-14h · Beaune",""),IF('Roulement V2'!N17="TE","préJ2/J6 · 8h-14h · Dijon",""),IF('Roulement V2'!M18="TE","journée · 8h-18h30 · Beaune",""),IF('Roulement V2'!N18="TE","journée · 8h-18h30 · Dijon",""),IF('Roulement V2'!M19="TE","journée · 8h-18h30 · Beaune",""),IF('Roulement V2'!N19="TE","journée · 8h-18h30 · Dijon",""))</f>
        <v>J2 · 14h-22h · Beaune</v>
      </c>
      <c r="H6" t="str" s="2" cm="1">
        <f t="array" ref="H6">_xlfn.TEXTJOIN(" + ",TRUE,IF('Roulement V2'!O12="TE","J1 · 8h-16h · Beaune",""),IF('Roulement V2'!P12="TE","J1 · 8h-16h · Dijon",""),IF('Roulement V2'!O13="TE","J2 · 14h-22h · Beaune",""),IF('Roulement V2'!P13="TE","J2 · 14h-22h · Dijon",""),IF('Roulement V2'!O14="TE","journée · 8h-18h30 · Beaune",""),IF('Roulement V2'!P14="TE","journée · 8h-18h30 · Dijon",""),IF('Roulement V2'!O15="TE","journée · 8h-18h30 · Beaune",""),IF('Roulement V2'!P15="TE","journée · 8h-18h30 · Dijon",""),IF('Roulement V2'!O16="TE","J5 · 12h-20h · Beaune",""),IF('Roulement V2'!P16="TE","J5 · 12h-20h · Dijon",""),IF('Roulement V2'!O17="TE","préJ2/J6 · 8h-14h · Beaune",""),IF('Roulement V2'!P17="TE","préJ2/J6 · 8h-14h · Dijon",""),IF('Roulement V2'!O18="TE","journée · 8h-18h30 · Beaune",""),IF('Roulement V2'!P18="TE","journée · 8h-18h30 · Dijon",""),IF('Roulement V2'!O19="TE","journée · 8h-18h30 · Beaune",""),IF('Roulement V2'!P19="TE","journée · 8h-18h30 · Dijon",""))</f>
        <v>J1 · 8h-16h · Beaune</v>
      </c>
      <c r="I6" t="str" s="2" cm="1">
        <f t="array" ref="I6">_xlfn.TEXTJOIN(" + ",TRUE,IF('Roulement V2'!Q12="TE","J1 · 8h-16h · Beaune",""),IF('Roulement V2'!R12="TE","J1 · 8h-16h · Dijon",""),IF('Roulement V2'!Q13="TE","J2 · 14h-22h · Beaune",""),IF('Roulement V2'!R13="TE","J2 · 14h-22h · Dijon",""),IF('Roulement V2'!Q14="TE","journée · 8h-18h30 · Beaune",""),IF('Roulement V2'!R14="TE","journée · 8h-18h30 · Dijon",""),IF('Roulement V2'!Q15="TE","journée · 8h-18h30 · Beaune",""),IF('Roulement V2'!R15="TE","journée · 8h-18h30 · Dijon",""),IF('Roulement V2'!Q16="TE","J5 · 12h-20h · Beaune",""),IF('Roulement V2'!R16="TE","J5 · 12h-20h · Dijon",""),IF('Roulement V2'!Q17="TE","préJ2/J6 · 8h-14h · Beaune",""),IF('Roulement V2'!R17="TE","préJ2/J6 · 8h-14h · Dijon",""),IF('Roulement V2'!Q18="TE","journée · 8h-18h30 · Beaune",""),IF('Roulement V2'!R18="TE","journée · 8h-18h30 · Dijon",""),IF('Roulement V2'!Q19="TE","journée · 8h-18h30 · Beaune",""),IF('Roulement V2'!R19="TE","journée · 8h-18h30 · Dijon",""))</f>
      </c>
    </row>
    <row r="7" ht="13.55" customHeight="1">
      <c r="A7" t="s" s="30">
        <v>38</v>
      </c>
      <c r="B7" t="str" s="2" cm="1">
        <f t="array" ref="B7">_xlfn.TEXTJOIN(" + ",TRUE,IF('Roulement V2'!C20="TE","J1 · 8h-16h · Beaune",""),IF('Roulement V2'!D20="TE","J1 · 8h-16h · Dijon",""),IF('Roulement V2'!C21="TE","J2 · 14h-22h · Beaune",""),IF('Roulement V2'!D21="TE","J2 · 14h-22h · Dijon",""),IF('Roulement V2'!C22="TE","journée · 8h-18h30 · Beaune",""),IF('Roulement V2'!D22="TE","journée · 8h-18h30 · Dijon",""),IF('Roulement V2'!C23="TE","journée · 8h-18h30 · Beaune",""),IF('Roulement V2'!D23="TE","journée · 8h-18h30 · Dijon",""),IF('Roulement V2'!C24="TE","J5 · 12h-20h · Beaune",""),IF('Roulement V2'!D24="TE","J5 · 12h-20h · Dijon",""),IF('Roulement V2'!C25="TE","préJ2/J6 · 8h-14h · Beaune",""),IF('Roulement V2'!D25="TE","préJ2/J6 · 8h-14h · Dijon",""),IF('Roulement V2'!C26="TE","journée · 8h-18h30 · Beaune",""),IF('Roulement V2'!D26="TE","journée · 8h-18h30 · Dijon",""),IF('Roulement V2'!C27="TE","journée · 8h-18h30 · Beaune",""),IF('Roulement V2'!D27="TE","journée · 8h-18h30 · Dijon",""))</f>
        <v>J2 · 14h-22h · Beaune</v>
      </c>
      <c r="C7" t="str" s="2" cm="1">
        <f t="array" ref="C7">_xlfn.TEXTJOIN(" + ",TRUE,IF('Roulement V2'!E20="TE","J1 · 8h-16h · Beaune",""),IF('Roulement V2'!F20="TE","J1 · 8h-16h · Dijon",""),IF('Roulement V2'!E21="TE","J2 · 14h-22h · Beaune",""),IF('Roulement V2'!F21="TE","J2 · 14h-22h · Dijon",""),IF('Roulement V2'!E22="TE","journée · 8h-18h30 · Beaune",""),IF('Roulement V2'!F22="TE","journée · 8h-18h30 · Dijon",""),IF('Roulement V2'!E23="TE","journée · 8h-18h30 · Beaune",""),IF('Roulement V2'!F23="TE","journée · 8h-18h30 · Dijon",""),IF('Roulement V2'!E24="TE","J5 · 12h-20h · Beaune",""),IF('Roulement V2'!F24="TE","J5 · 12h-20h · Dijon",""),IF('Roulement V2'!E25="TE","préJ2/J6 · 8h-14h · Beaune",""),IF('Roulement V2'!F25="TE","préJ2/J6 · 8h-14h · Dijon",""),IF('Roulement V2'!E26="TE","journée · 8h-18h30 · Beaune",""),IF('Roulement V2'!F26="TE","journée · 8h-18h30 · Dijon",""),IF('Roulement V2'!E27="TE","journée · 8h-18h30 · Beaune",""),IF('Roulement V2'!F27="TE","journée · 8h-18h30 · Dijon",""))</f>
        <v>J1 · 8h-16h · Beaune</v>
      </c>
      <c r="D7" t="str" s="2" cm="1">
        <f t="array" ref="D7">_xlfn.TEXTJOIN(" + ",TRUE,IF('Roulement V2'!G20="TE","J1 · 8h-16h · Beaune",""),IF('Roulement V2'!H20="TE","J1 · 8h-16h · Dijon",""),IF('Roulement V2'!G21="TE","J2 · 14h-22h · Beaune",""),IF('Roulement V2'!H21="TE","J2 · 14h-22h · Dijon",""),IF('Roulement V2'!G22="TE","journée · 8h-18h30 · Beaune",""),IF('Roulement V2'!H22="TE","journée · 8h-18h30 · Dijon",""),IF('Roulement V2'!G23="TE","journée · 8h-18h30 · Beaune",""),IF('Roulement V2'!H23="TE","journée · 8h-18h30 · Dijon",""),IF('Roulement V2'!G24="TE","J5 · 12h-20h · Beaune",""),IF('Roulement V2'!H24="TE","J5 · 12h-20h · Dijon",""),IF('Roulement V2'!G25="TE","préJ2/J6 · 8h-14h · Beaune",""),IF('Roulement V2'!H25="TE","préJ2/J6 · 8h-14h · Dijon",""),IF('Roulement V2'!G26="TE","journée · 8h-18h30 · Beaune",""),IF('Roulement V2'!H26="TE","journée · 8h-18h30 · Dijon",""),IF('Roulement V2'!G27="TE","journée · 8h-18h30 · Beaune",""),IF('Roulement V2'!H27="TE","journée · 8h-18h30 · Dijon",""))</f>
        <v>J1 · 8h-16h · Beaune</v>
      </c>
      <c r="E7" t="str" s="2" cm="1">
        <f t="array" ref="E7">_xlfn.TEXTJOIN(" + ",TRUE,IF('Roulement V2'!I20="TE","J1 · 8h-16h · Beaune",""),IF('Roulement V2'!J20="TE","J1 · 8h-16h · Dijon",""),IF('Roulement V2'!I21="TE","J2 · 14h-22h · Beaune",""),IF('Roulement V2'!J21="TE","J2 · 14h-22h · Dijon",""),IF('Roulement V2'!I22="TE","journée · 8h-18h30 · Beaune",""),IF('Roulement V2'!J22="TE","journée · 8h-18h30 · Dijon",""),IF('Roulement V2'!I23="TE","journée · 8h-18h30 · Beaune",""),IF('Roulement V2'!J23="TE","journée · 8h-18h30 · Dijon",""),IF('Roulement V2'!I24="TE","J5 · 12h-20h · Beaune",""),IF('Roulement V2'!J24="TE","J5 · 12h-20h · Dijon",""),IF('Roulement V2'!I25="TE","préJ2/J6 · 8h-14h · Beaune",""),IF('Roulement V2'!J25="TE","préJ2/J6 · 8h-14h · Dijon",""),IF('Roulement V2'!I26="TE","journée · 8h-18h30 · Beaune",""),IF('Roulement V2'!J26="TE","journée · 8h-18h30 · Dijon",""),IF('Roulement V2'!I27="TE","journée · 8h-18h30 · Beaune",""),IF('Roulement V2'!J27="TE","journée · 8h-18h30 · Dijon",""))</f>
      </c>
      <c r="F7" t="str" s="2" cm="1">
        <f t="array" ref="F7">_xlfn.TEXTJOIN(" + ",TRUE,IF('Roulement V2'!K20="TE","J1 · 8h-16h · Beaune",""),IF('Roulement V2'!L20="TE","J1 · 8h-16h · Dijon",""),IF('Roulement V2'!K21="TE","J2 · 14h-22h · Beaune",""),IF('Roulement V2'!L21="TE","J2 · 14h-22h · Dijon",""),IF('Roulement V2'!K22="TE","journée · 8h-18h30 · Beaune",""),IF('Roulement V2'!L22="TE","journée · 8h-18h30 · Dijon",""),IF('Roulement V2'!K23="TE","journée · 8h-18h30 · Beaune",""),IF('Roulement V2'!L23="TE","journée · 8h-18h30 · Dijon",""),IF('Roulement V2'!K24="TE","J5 · 12h-20h · Beaune",""),IF('Roulement V2'!L24="TE","J5 · 12h-20h · Dijon",""),IF('Roulement V2'!K25="TE","préJ2/J6 · 8h-14h · Beaune",""),IF('Roulement V2'!L25="TE","préJ2/J6 · 8h-14h · Dijon",""),IF('Roulement V2'!K26="TE","journée · 8h-18h30 · Beaune",""),IF('Roulement V2'!L26="TE","journée · 8h-18h30 · Dijon",""),IF('Roulement V2'!K27="TE","journée · 8h-18h30 · Beaune",""),IF('Roulement V2'!L27="TE","journée · 8h-18h30 · Dijon",""))</f>
        <v>journée · 8h-18h30 · Beaune</v>
      </c>
      <c r="G7" t="str" s="2" cm="1">
        <f t="array" ref="G7">_xlfn.TEXTJOIN(" + ",TRUE,IF('Roulement V2'!M20="TE","J1 · 8h-16h · Beaune",""),IF('Roulement V2'!N20="TE","J1 · 8h-16h · Dijon",""),IF('Roulement V2'!M21="TE","J2 · 14h-22h · Beaune",""),IF('Roulement V2'!N21="TE","J2 · 14h-22h · Dijon",""),IF('Roulement V2'!M22="TE","journée · 8h-18h30 · Beaune",""),IF('Roulement V2'!N22="TE","journée · 8h-18h30 · Dijon",""),IF('Roulement V2'!M23="TE","journée · 8h-18h30 · Beaune",""),IF('Roulement V2'!N23="TE","journée · 8h-18h30 · Dijon",""),IF('Roulement V2'!M24="TE","J5 · 12h-20h · Beaune",""),IF('Roulement V2'!N24="TE","J5 · 12h-20h · Dijon",""),IF('Roulement V2'!M25="TE","préJ2/J6 · 8h-14h · Beaune",""),IF('Roulement V2'!N25="TE","préJ2/J6 · 8h-14h · Dijon",""),IF('Roulement V2'!M26="TE","journée · 8h-18h30 · Beaune",""),IF('Roulement V2'!N26="TE","journée · 8h-18h30 · Dijon",""),IF('Roulement V2'!M27="TE","journée · 8h-18h30 · Beaune",""),IF('Roulement V2'!N27="TE","journée · 8h-18h30 · Dijon",""))</f>
        <v>J1 · 8h-16h · Beaune</v>
      </c>
      <c r="H7" t="str" s="2" cm="1">
        <f t="array" ref="H7">_xlfn.TEXTJOIN(" + ",TRUE,IF('Roulement V2'!O20="TE","J1 · 8h-16h · Beaune",""),IF('Roulement V2'!P20="TE","J1 · 8h-16h · Dijon",""),IF('Roulement V2'!O21="TE","J2 · 14h-22h · Beaune",""),IF('Roulement V2'!P21="TE","J2 · 14h-22h · Dijon",""),IF('Roulement V2'!O22="TE","journée · 8h-18h30 · Beaune",""),IF('Roulement V2'!P22="TE","journée · 8h-18h30 · Dijon",""),IF('Roulement V2'!O23="TE","journée · 8h-18h30 · Beaune",""),IF('Roulement V2'!P23="TE","journée · 8h-18h30 · Dijon",""),IF('Roulement V2'!O24="TE","J5 · 12h-20h · Beaune",""),IF('Roulement V2'!P24="TE","J5 · 12h-20h · Dijon",""),IF('Roulement V2'!O25="TE","préJ2/J6 · 8h-14h · Beaune",""),IF('Roulement V2'!P25="TE","préJ2/J6 · 8h-14h · Dijon",""),IF('Roulement V2'!O26="TE","journée · 8h-18h30 · Beaune",""),IF('Roulement V2'!P26="TE","journée · 8h-18h30 · Dijon",""),IF('Roulement V2'!O27="TE","journée · 8h-18h30 · Beaune",""),IF('Roulement V2'!P27="TE","journée · 8h-18h30 · Dijon",""))</f>
        <v>journée · 8h-18h30 · Dijon</v>
      </c>
      <c r="I7" t="str" s="2" cm="1">
        <f t="array" ref="I7">_xlfn.TEXTJOIN(" + ",TRUE,IF('Roulement V2'!Q20="TE","J1 · 8h-16h · Beaune",""),IF('Roulement V2'!R20="TE","J1 · 8h-16h · Dijon",""),IF('Roulement V2'!Q21="TE","J2 · 14h-22h · Beaune",""),IF('Roulement V2'!R21="TE","J2 · 14h-22h · Dijon",""),IF('Roulement V2'!Q22="TE","journée · 8h-18h30 · Beaune",""),IF('Roulement V2'!R22="TE","journée · 8h-18h30 · Dijon",""),IF('Roulement V2'!Q23="TE","journée · 8h-18h30 · Beaune",""),IF('Roulement V2'!R23="TE","journée · 8h-18h30 · Dijon",""),IF('Roulement V2'!Q24="TE","J5 · 12h-20h · Beaune",""),IF('Roulement V2'!R24="TE","J5 · 12h-20h · Dijon",""),IF('Roulement V2'!Q25="TE","préJ2/J6 · 8h-14h · Beaune",""),IF('Roulement V2'!R25="TE","préJ2/J6 · 8h-14h · Dijon",""),IF('Roulement V2'!Q26="TE","journée · 8h-18h30 · Beaune",""),IF('Roulement V2'!R26="TE","journée · 8h-18h30 · Dijon",""),IF('Roulement V2'!Q27="TE","journée · 8h-18h30 · Beaune",""),IF('Roulement V2'!R27="TE","journée · 8h-18h30 · Dijon",""))</f>
      </c>
    </row>
    <row r="8" ht="13.55" customHeight="1">
      <c r="A8" t="s" s="30">
        <v>39</v>
      </c>
      <c r="B8" t="str" s="2" cm="1">
        <f t="array" ref="B8">_xlfn.TEXTJOIN(" + ",TRUE,IF('Roulement V2'!C28="TE","J1 · 8h-16h · Beaune",""),IF('Roulement V2'!D28="TE","J1 · 8h-16h · Dijon",""),IF('Roulement V2'!C29="TE","J2 · 14h-22h · Beaune",""),IF('Roulement V2'!D29="TE","J2 · 14h-22h · Dijon",""),IF('Roulement V2'!C30="TE","journée · 8h-18h30 · Beaune",""),IF('Roulement V2'!D30="TE","journée · 8h-18h30 · Dijon",""),IF('Roulement V2'!C31="TE","journée · 8h-18h30 · Beaune",""),IF('Roulement V2'!D31="TE","journée · 8h-18h30 · Dijon",""),IF('Roulement V2'!C32="TE","J5 · 12h-20h · Beaune",""),IF('Roulement V2'!D32="TE","J5 · 12h-20h · Dijon",""),IF('Roulement V2'!C33="TE","préJ2/J6 · 8h-14h · Beaune",""),IF('Roulement V2'!D33="TE","préJ2/J6 · 8h-14h · Dijon",""),IF('Roulement V2'!C34="TE","journée · 8h-18h30 · Beaune",""),IF('Roulement V2'!D34="TE","journée · 8h-18h30 · Dijon",""),IF('Roulement V2'!C35="TE","journée · 8h-18h30 · Beaune",""),IF('Roulement V2'!D35="TE","journée · 8h-18h30 · Dijon",""))</f>
        <v>J1 · 8h-16h · Beaune</v>
      </c>
      <c r="C8" t="str" s="2" cm="1">
        <f t="array" ref="C8">_xlfn.TEXTJOIN(" + ",TRUE,IF('Roulement V2'!E28="TE","J1 · 8h-16h · Beaune",""),IF('Roulement V2'!F28="TE","J1 · 8h-16h · Dijon",""),IF('Roulement V2'!E29="TE","J2 · 14h-22h · Beaune",""),IF('Roulement V2'!F29="TE","J2 · 14h-22h · Dijon",""),IF('Roulement V2'!E30="TE","journée · 8h-18h30 · Beaune",""),IF('Roulement V2'!F30="TE","journée · 8h-18h30 · Dijon",""),IF('Roulement V2'!E31="TE","journée · 8h-18h30 · Beaune",""),IF('Roulement V2'!F31="TE","journée · 8h-18h30 · Dijon",""),IF('Roulement V2'!E32="TE","J5 · 12h-20h · Beaune",""),IF('Roulement V2'!F32="TE","J5 · 12h-20h · Dijon",""),IF('Roulement V2'!E33="TE","préJ2/J6 · 8h-14h · Beaune",""),IF('Roulement V2'!F33="TE","préJ2/J6 · 8h-14h · Dijon",""),IF('Roulement V2'!E34="TE","journée · 8h-18h30 · Beaune",""),IF('Roulement V2'!F34="TE","journée · 8h-18h30 · Dijon",""),IF('Roulement V2'!E35="TE","journée · 8h-18h30 · Beaune",""),IF('Roulement V2'!F35="TE","journée · 8h-18h30 · Dijon",""))</f>
        <v>J2 · 14h-22h · Dijon</v>
      </c>
      <c r="D8" t="str" s="2" cm="1">
        <f t="array" ref="D8">_xlfn.TEXTJOIN(" + ",TRUE,IF('Roulement V2'!G28="TE","J1 · 8h-16h · Beaune",""),IF('Roulement V2'!H28="TE","J1 · 8h-16h · Dijon",""),IF('Roulement V2'!G29="TE","J2 · 14h-22h · Beaune",""),IF('Roulement V2'!H29="TE","J2 · 14h-22h · Dijon",""),IF('Roulement V2'!G30="TE","journée · 8h-18h30 · Beaune",""),IF('Roulement V2'!H30="TE","journée · 8h-18h30 · Dijon",""),IF('Roulement V2'!G31="TE","journée · 8h-18h30 · Beaune",""),IF('Roulement V2'!H31="TE","journée · 8h-18h30 · Dijon",""),IF('Roulement V2'!G32="TE","J5 · 12h-20h · Beaune",""),IF('Roulement V2'!H32="TE","J5 · 12h-20h · Dijon",""),IF('Roulement V2'!G33="TE","préJ2/J6 · 8h-14h · Beaune",""),IF('Roulement V2'!H33="TE","préJ2/J6 · 8h-14h · Dijon",""),IF('Roulement V2'!G34="TE","journée · 8h-18h30 · Beaune",""),IF('Roulement V2'!H34="TE","journée · 8h-18h30 · Dijon",""),IF('Roulement V2'!G35="TE","journée · 8h-18h30 · Beaune",""),IF('Roulement V2'!H35="TE","journée · 8h-18h30 · Dijon",""))</f>
        <v>journée · 8h-18h30 · Dijon</v>
      </c>
      <c r="E8" t="str" s="2" cm="1">
        <f t="array" ref="E8">_xlfn.TEXTJOIN(" + ",TRUE,IF('Roulement V2'!I28="TE","J1 · 8h-16h · Beaune",""),IF('Roulement V2'!J28="TE","J1 · 8h-16h · Dijon",""),IF('Roulement V2'!I29="TE","J2 · 14h-22h · Beaune",""),IF('Roulement V2'!J29="TE","J2 · 14h-22h · Dijon",""),IF('Roulement V2'!I30="TE","journée · 8h-18h30 · Beaune",""),IF('Roulement V2'!J30="TE","journée · 8h-18h30 · Dijon",""),IF('Roulement V2'!I31="TE","journée · 8h-18h30 · Beaune",""),IF('Roulement V2'!J31="TE","journée · 8h-18h30 · Dijon",""),IF('Roulement V2'!I32="TE","J5 · 12h-20h · Beaune",""),IF('Roulement V2'!J32="TE","J5 · 12h-20h · Dijon",""),IF('Roulement V2'!I33="TE","préJ2/J6 · 8h-14h · Beaune",""),IF('Roulement V2'!J33="TE","préJ2/J6 · 8h-14h · Dijon",""),IF('Roulement V2'!I34="TE","journée · 8h-18h30 · Beaune",""),IF('Roulement V2'!J34="TE","journée · 8h-18h30 · Dijon",""),IF('Roulement V2'!I35="TE","journée · 8h-18h30 · Beaune",""),IF('Roulement V2'!J35="TE","journée · 8h-18h30 · Dijon",""))</f>
        <v>J2 · 14h-22h · Dijon</v>
      </c>
      <c r="F8" t="str" s="2" cm="1">
        <f t="array" ref="F8">_xlfn.TEXTJOIN(" + ",TRUE,IF('Roulement V2'!K28="TE","J1 · 8h-16h · Beaune",""),IF('Roulement V2'!L28="TE","J1 · 8h-16h · Dijon",""),IF('Roulement V2'!K29="TE","J2 · 14h-22h · Beaune",""),IF('Roulement V2'!L29="TE","J2 · 14h-22h · Dijon",""),IF('Roulement V2'!K30="TE","journée · 8h-18h30 · Beaune",""),IF('Roulement V2'!L30="TE","journée · 8h-18h30 · Dijon",""),IF('Roulement V2'!K31="TE","journée · 8h-18h30 · Beaune",""),IF('Roulement V2'!L31="TE","journée · 8h-18h30 · Dijon",""),IF('Roulement V2'!K32="TE","J5 · 12h-20h · Beaune",""),IF('Roulement V2'!L32="TE","J5 · 12h-20h · Dijon",""),IF('Roulement V2'!K33="TE","préJ2/J6 · 8h-14h · Beaune",""),IF('Roulement V2'!L33="TE","préJ2/J6 · 8h-14h · Dijon",""),IF('Roulement V2'!K34="TE","journée · 8h-18h30 · Beaune",""),IF('Roulement V2'!L34="TE","journée · 8h-18h30 · Dijon",""),IF('Roulement V2'!K35="TE","journée · 8h-18h30 · Beaune",""),IF('Roulement V2'!L35="TE","journée · 8h-18h30 · Dijon",""))</f>
        <v>journée · 8h-18h30 · Beaune</v>
      </c>
      <c r="G8" t="str" s="2" cm="1">
        <f t="array" ref="G8">_xlfn.TEXTJOIN(" + ",TRUE,IF('Roulement V2'!M28="TE","J1 · 8h-16h · Beaune",""),IF('Roulement V2'!N28="TE","J1 · 8h-16h · Dijon",""),IF('Roulement V2'!M29="TE","J2 · 14h-22h · Beaune",""),IF('Roulement V2'!N29="TE","J2 · 14h-22h · Dijon",""),IF('Roulement V2'!M30="TE","journée · 8h-18h30 · Beaune",""),IF('Roulement V2'!N30="TE","journée · 8h-18h30 · Dijon",""),IF('Roulement V2'!M31="TE","journée · 8h-18h30 · Beaune",""),IF('Roulement V2'!N31="TE","journée · 8h-18h30 · Dijon",""),IF('Roulement V2'!M32="TE","J5 · 12h-20h · Beaune",""),IF('Roulement V2'!N32="TE","J5 · 12h-20h · Dijon",""),IF('Roulement V2'!M33="TE","préJ2/J6 · 8h-14h · Beaune",""),IF('Roulement V2'!N33="TE","préJ2/J6 · 8h-14h · Dijon",""),IF('Roulement V2'!M34="TE","journée · 8h-18h30 · Beaune",""),IF('Roulement V2'!N34="TE","journée · 8h-18h30 · Dijon",""),IF('Roulement V2'!M35="TE","journée · 8h-18h30 · Beaune",""),IF('Roulement V2'!N35="TE","journée · 8h-18h30 · Dijon",""))</f>
        <v>journée · 8h-18h30 · Dijon</v>
      </c>
      <c r="H8" t="str" s="2" cm="1">
        <f t="array" ref="H8">_xlfn.TEXTJOIN(" + ",TRUE,IF('Roulement V2'!O28="TE","J1 · 8h-16h · Beaune",""),IF('Roulement V2'!P28="TE","J1 · 8h-16h · Dijon",""),IF('Roulement V2'!O29="TE","J2 · 14h-22h · Beaune",""),IF('Roulement V2'!P29="TE","J2 · 14h-22h · Dijon",""),IF('Roulement V2'!O30="TE","journée · 8h-18h30 · Beaune",""),IF('Roulement V2'!P30="TE","journée · 8h-18h30 · Dijon",""),IF('Roulement V2'!O31="TE","journée · 8h-18h30 · Beaune",""),IF('Roulement V2'!P31="TE","journée · 8h-18h30 · Dijon",""),IF('Roulement V2'!O32="TE","J5 · 12h-20h · Beaune",""),IF('Roulement V2'!P32="TE","J5 · 12h-20h · Dijon",""),IF('Roulement V2'!O33="TE","préJ2/J6 · 8h-14h · Beaune",""),IF('Roulement V2'!P33="TE","préJ2/J6 · 8h-14h · Dijon",""),IF('Roulement V2'!O34="TE","journée · 8h-18h30 · Beaune",""),IF('Roulement V2'!P34="TE","journée · 8h-18h30 · Dijon",""),IF('Roulement V2'!O35="TE","journée · 8h-18h30 · Beaune",""),IF('Roulement V2'!P35="TE","journée · 8h-18h30 · Dijon",""))</f>
        <v>journée · 8h-18h30 · Beaune</v>
      </c>
      <c r="I8" t="str" s="2" cm="1">
        <f t="array" ref="I8">_xlfn.TEXTJOIN(" + ",TRUE,IF('Roulement V2'!Q28="TE","J1 · 8h-16h · Beaune",""),IF('Roulement V2'!R28="TE","J1 · 8h-16h · Dijon",""),IF('Roulement V2'!Q29="TE","J2 · 14h-22h · Beaune",""),IF('Roulement V2'!R29="TE","J2 · 14h-22h · Dijon",""),IF('Roulement V2'!Q30="TE","journée · 8h-18h30 · Beaune",""),IF('Roulement V2'!R30="TE","journée · 8h-18h30 · Dijon",""),IF('Roulement V2'!Q31="TE","journée · 8h-18h30 · Beaune",""),IF('Roulement V2'!R31="TE","journée · 8h-18h30 · Dijon",""),IF('Roulement V2'!Q32="TE","J5 · 12h-20h · Beaune",""),IF('Roulement V2'!R32="TE","J5 · 12h-20h · Dijon",""),IF('Roulement V2'!Q33="TE","préJ2/J6 · 8h-14h · Beaune",""),IF('Roulement V2'!R33="TE","préJ2/J6 · 8h-14h · Dijon",""),IF('Roulement V2'!Q34="TE","journée · 8h-18h30 · Beaune",""),IF('Roulement V2'!R34="TE","journée · 8h-18h30 · Dijon",""),IF('Roulement V2'!Q35="TE","journée · 8h-18h30 · Beaune",""),IF('Roulement V2'!R35="TE","journée · 8h-18h30 · Dijon",""))</f>
        <v>J2 · 14h-22h · Dijon</v>
      </c>
    </row>
    <row r="9" ht="13.55" customHeight="1">
      <c r="A9" t="s" s="30">
        <v>40</v>
      </c>
      <c r="B9" t="str" s="2" cm="1">
        <f t="array" ref="B9">_xlfn.TEXTJOIN(" + ",TRUE,IF('Roulement V2'!C36="TE","J1 · 8h-16h · Beaune",""),IF('Roulement V2'!D36="TE","J1 · 8h-16h · Dijon",""),IF('Roulement V2'!C37="TE","J2 · 14h-22h · Beaune",""),IF('Roulement V2'!D37="TE","J2 · 14h-22h · Dijon",""),IF('Roulement V2'!C38="TE","journée · 8h-18h30 · Beaune",""),IF('Roulement V2'!D38="TE","journée · 8h-18h30 · Dijon",""),IF('Roulement V2'!C39="TE","journée · 8h-18h30 · Beaune",""),IF('Roulement V2'!D39="TE","journée · 8h-18h30 · Dijon",""),IF('Roulement V2'!C40="TE","J5 · 12h-20h · Beaune",""),IF('Roulement V2'!D40="TE","J5 · 12h-20h · Dijon",""),IF('Roulement V2'!C41="TE","préJ2/J6 · 8h-14h · Beaune",""),IF('Roulement V2'!D41="TE","préJ2/J6 · 8h-14h · Dijon",""),IF('Roulement V2'!C42="TE","journée · 8h-18h30 · Beaune",""),IF('Roulement V2'!D42="TE","journée · 8h-18h30 · Dijon",""),IF('Roulement V2'!C43="TE","journée · 8h-18h30 · Beaune",""),IF('Roulement V2'!D43="TE","journée · 8h-18h30 · Dijon",""))</f>
      </c>
      <c r="C9" t="str" s="2" cm="1">
        <f t="array" ref="C9">_xlfn.TEXTJOIN(" + ",TRUE,IF('Roulement V2'!E36="TE","J1 · 8h-16h · Beaune",""),IF('Roulement V2'!F36="TE","J1 · 8h-16h · Dijon",""),IF('Roulement V2'!E37="TE","J2 · 14h-22h · Beaune",""),IF('Roulement V2'!F37="TE","J2 · 14h-22h · Dijon",""),IF('Roulement V2'!E38="TE","journée · 8h-18h30 · Beaune",""),IF('Roulement V2'!F38="TE","journée · 8h-18h30 · Dijon",""),IF('Roulement V2'!E39="TE","journée · 8h-18h30 · Beaune",""),IF('Roulement V2'!F39="TE","journée · 8h-18h30 · Dijon",""),IF('Roulement V2'!E40="TE","J5 · 12h-20h · Beaune",""),IF('Roulement V2'!F40="TE","J5 · 12h-20h · Dijon",""),IF('Roulement V2'!E41="TE","préJ2/J6 · 8h-14h · Beaune",""),IF('Roulement V2'!F41="TE","préJ2/J6 · 8h-14h · Dijon",""),IF('Roulement V2'!E42="TE","journée · 8h-18h30 · Beaune",""),IF('Roulement V2'!F42="TE","journée · 8h-18h30 · Dijon",""),IF('Roulement V2'!E43="TE","journée · 8h-18h30 · Beaune",""),IF('Roulement V2'!F43="TE","journée · 8h-18h30 · Dijon",""))</f>
      </c>
      <c r="D9" t="str" s="2" cm="1">
        <f t="array" ref="D9">_xlfn.TEXTJOIN(" + ",TRUE,IF('Roulement V2'!G36="TE","J1 · 8h-16h · Beaune",""),IF('Roulement V2'!H36="TE","J1 · 8h-16h · Dijon",""),IF('Roulement V2'!G37="TE","J2 · 14h-22h · Beaune",""),IF('Roulement V2'!H37="TE","J2 · 14h-22h · Dijon",""),IF('Roulement V2'!G38="TE","journée · 8h-18h30 · Beaune",""),IF('Roulement V2'!H38="TE","journée · 8h-18h30 · Dijon",""),IF('Roulement V2'!G39="TE","journée · 8h-18h30 · Beaune",""),IF('Roulement V2'!H39="TE","journée · 8h-18h30 · Dijon",""),IF('Roulement V2'!G40="TE","J5 · 12h-20h · Beaune",""),IF('Roulement V2'!H40="TE","J5 · 12h-20h · Dijon",""),IF('Roulement V2'!G41="TE","préJ2/J6 · 8h-14h · Beaune",""),IF('Roulement V2'!H41="TE","préJ2/J6 · 8h-14h · Dijon",""),IF('Roulement V2'!G42="TE","journée · 8h-18h30 · Beaune",""),IF('Roulement V2'!H42="TE","journée · 8h-18h30 · Dijon",""),IF('Roulement V2'!G43="TE","journée · 8h-18h30 · Beaune",""),IF('Roulement V2'!H43="TE","journée · 8h-18h30 · Dijon",""))</f>
      </c>
      <c r="E9" t="str" s="2" cm="1">
        <f t="array" ref="E9">_xlfn.TEXTJOIN(" + ",TRUE,IF('Roulement V2'!I36="TE","J1 · 8h-16h · Beaune",""),IF('Roulement V2'!J36="TE","J1 · 8h-16h · Dijon",""),IF('Roulement V2'!I37="TE","J2 · 14h-22h · Beaune",""),IF('Roulement V2'!J37="TE","J2 · 14h-22h · Dijon",""),IF('Roulement V2'!I38="TE","journée · 8h-18h30 · Beaune",""),IF('Roulement V2'!J38="TE","journée · 8h-18h30 · Dijon",""),IF('Roulement V2'!I39="TE","journée · 8h-18h30 · Beaune",""),IF('Roulement V2'!J39="TE","journée · 8h-18h30 · Dijon",""),IF('Roulement V2'!I40="TE","J5 · 12h-20h · Beaune",""),IF('Roulement V2'!J40="TE","J5 · 12h-20h · Dijon",""),IF('Roulement V2'!I41="TE","préJ2/J6 · 8h-14h · Beaune",""),IF('Roulement V2'!J41="TE","préJ2/J6 · 8h-14h · Dijon",""),IF('Roulement V2'!I42="TE","journée · 8h-18h30 · Beaune",""),IF('Roulement V2'!J42="TE","journée · 8h-18h30 · Dijon",""),IF('Roulement V2'!I43="TE","journée · 8h-18h30 · Beaune",""),IF('Roulement V2'!J43="TE","journée · 8h-18h30 · Dijon",""))</f>
        <v>J2 · 14h-22h · Beaune</v>
      </c>
      <c r="F9" t="str" s="2" cm="1">
        <f t="array" ref="F9">_xlfn.TEXTJOIN(" + ",TRUE,IF('Roulement V2'!K36="TE","J1 · 8h-16h · Beaune",""),IF('Roulement V2'!L36="TE","J1 · 8h-16h · Dijon",""),IF('Roulement V2'!K37="TE","J2 · 14h-22h · Beaune",""),IF('Roulement V2'!L37="TE","J2 · 14h-22h · Dijon",""),IF('Roulement V2'!K38="TE","journée · 8h-18h30 · Beaune",""),IF('Roulement V2'!L38="TE","journée · 8h-18h30 · Dijon",""),IF('Roulement V2'!K39="TE","journée · 8h-18h30 · Beaune",""),IF('Roulement V2'!L39="TE","journée · 8h-18h30 · Dijon",""),IF('Roulement V2'!K40="TE","J5 · 12h-20h · Beaune",""),IF('Roulement V2'!L40="TE","J5 · 12h-20h · Dijon",""),IF('Roulement V2'!K41="TE","préJ2/J6 · 8h-14h · Beaune",""),IF('Roulement V2'!L41="TE","préJ2/J6 · 8h-14h · Dijon",""),IF('Roulement V2'!K42="TE","journée · 8h-18h30 · Beaune",""),IF('Roulement V2'!L42="TE","journée · 8h-18h30 · Dijon",""),IF('Roulement V2'!K43="TE","journée · 8h-18h30 · Beaune",""),IF('Roulement V2'!L43="TE","journée · 8h-18h30 · Dijon",""))</f>
      </c>
      <c r="G9" t="str" s="2" cm="1">
        <f t="array" ref="G9">_xlfn.TEXTJOIN(" + ",TRUE,IF('Roulement V2'!M36="TE","J1 · 8h-16h · Beaune",""),IF('Roulement V2'!N36="TE","J1 · 8h-16h · Dijon",""),IF('Roulement V2'!M37="TE","J2 · 14h-22h · Beaune",""),IF('Roulement V2'!N37="TE","J2 · 14h-22h · Dijon",""),IF('Roulement V2'!M38="TE","journée · 8h-18h30 · Beaune",""),IF('Roulement V2'!N38="TE","journée · 8h-18h30 · Dijon",""),IF('Roulement V2'!M39="TE","journée · 8h-18h30 · Beaune",""),IF('Roulement V2'!N39="TE","journée · 8h-18h30 · Dijon",""),IF('Roulement V2'!M40="TE","J5 · 12h-20h · Beaune",""),IF('Roulement V2'!N40="TE","J5 · 12h-20h · Dijon",""),IF('Roulement V2'!M41="TE","préJ2/J6 · 8h-14h · Beaune",""),IF('Roulement V2'!N41="TE","préJ2/J6 · 8h-14h · Dijon",""),IF('Roulement V2'!M42="TE","journée · 8h-18h30 · Beaune",""),IF('Roulement V2'!N42="TE","journée · 8h-18h30 · Dijon",""),IF('Roulement V2'!M43="TE","journée · 8h-18h30 · Beaune",""),IF('Roulement V2'!N43="TE","journée · 8h-18h30 · Dijon",""))</f>
      </c>
      <c r="H9" t="str" s="2" cm="1">
        <f t="array" ref="H9">_xlfn.TEXTJOIN(" + ",TRUE,IF('Roulement V2'!O36="TE","J1 · 8h-16h · Beaune",""),IF('Roulement V2'!P36="TE","J1 · 8h-16h · Dijon",""),IF('Roulement V2'!O37="TE","J2 · 14h-22h · Beaune",""),IF('Roulement V2'!P37="TE","J2 · 14h-22h · Dijon",""),IF('Roulement V2'!O38="TE","journée · 8h-18h30 · Beaune",""),IF('Roulement V2'!P38="TE","journée · 8h-18h30 · Dijon",""),IF('Roulement V2'!O39="TE","journée · 8h-18h30 · Beaune",""),IF('Roulement V2'!P39="TE","journée · 8h-18h30 · Dijon",""),IF('Roulement V2'!O40="TE","J5 · 12h-20h · Beaune",""),IF('Roulement V2'!P40="TE","J5 · 12h-20h · Dijon",""),IF('Roulement V2'!O41="TE","préJ2/J6 · 8h-14h · Beaune",""),IF('Roulement V2'!P41="TE","préJ2/J6 · 8h-14h · Dijon",""),IF('Roulement V2'!O42="TE","journée · 8h-18h30 · Beaune",""),IF('Roulement V2'!P42="TE","journée · 8h-18h30 · Dijon",""),IF('Roulement V2'!O43="TE","journée · 8h-18h30 · Beaune",""),IF('Roulement V2'!P43="TE","journée · 8h-18h30 · Dijon",""))</f>
      </c>
      <c r="I9" t="str" s="2" cm="1">
        <f t="array" ref="I9">_xlfn.TEXTJOIN(" + ",TRUE,IF('Roulement V2'!Q36="TE","J1 · 8h-16h · Beaune",""),IF('Roulement V2'!R36="TE","J1 · 8h-16h · Dijon",""),IF('Roulement V2'!Q37="TE","J2 · 14h-22h · Beaune",""),IF('Roulement V2'!R37="TE","J2 · 14h-22h · Dijon",""),IF('Roulement V2'!Q38="TE","journée · 8h-18h30 · Beaune",""),IF('Roulement V2'!R38="TE","journée · 8h-18h30 · Dijon",""),IF('Roulement V2'!Q39="TE","journée · 8h-18h30 · Beaune",""),IF('Roulement V2'!R39="TE","journée · 8h-18h30 · Dijon",""),IF('Roulement V2'!Q40="TE","J5 · 12h-20h · Beaune",""),IF('Roulement V2'!R40="TE","J5 · 12h-20h · Dijon",""),IF('Roulement V2'!Q41="TE","préJ2/J6 · 8h-14h · Beaune",""),IF('Roulement V2'!R41="TE","préJ2/J6 · 8h-14h · Dijon",""),IF('Roulement V2'!Q42="TE","journée · 8h-18h30 · Beaune",""),IF('Roulement V2'!R42="TE","journée · 8h-18h30 · Dijon",""),IF('Roulement V2'!Q43="TE","journée · 8h-18h30 · Beaune",""),IF('Roulement V2'!R43="TE","journée · 8h-18h30 · Dijon",""))</f>
        <v>journée · 8h-18h30 · Beaune</v>
      </c>
    </row>
    <row r="10" ht="13.55" customHeight="1">
      <c r="A10" t="s" s="30">
        <v>41</v>
      </c>
      <c r="B10" t="str" s="2" cm="1">
        <f t="array" ref="B10">_xlfn.TEXTJOIN(" + ",TRUE,IF('Roulement V2'!C44="TE","Garde · Beaune",""),IF('Roulement V2'!D44="TE","Garde · Dijon",""),IF('Roulement V2'!C45="TE","Doublon · Beaune",""),IF('Roulement V2'!D45="TE","Doublon · Dijon",""))</f>
      </c>
      <c r="C10" t="str" s="2" cm="1">
        <f t="array" ref="C10">_xlfn.TEXTJOIN(" + ",TRUE,IF('Roulement V2'!E44="TE","Garde · Beaune",""),IF('Roulement V2'!F44="TE","Garde · Dijon",""),IF('Roulement V2'!E45="TE","Doublon · Beaune",""),IF('Roulement V2'!F45="TE","Doublon · Dijon",""))</f>
      </c>
      <c r="D10" t="str" s="2" cm="1">
        <f t="array" ref="D10">_xlfn.TEXTJOIN(" + ",TRUE,IF('Roulement V2'!G44="TE","Garde · Beaune",""),IF('Roulement V2'!H44="TE","Garde · Dijon",""),IF('Roulement V2'!G45="TE","Doublon · Beaune",""),IF('Roulement V2'!H45="TE","Doublon · Dijon",""))</f>
        <v>Garde · Dijon</v>
      </c>
      <c r="E10" t="str" s="2" cm="1">
        <f t="array" ref="E10">_xlfn.TEXTJOIN(" + ",TRUE,IF('Roulement V2'!I44="TE","Garde · Beaune",""),IF('Roulement V2'!J44="TE","Garde · Dijon",""),IF('Roulement V2'!I45="TE","Doublon · Beaune",""),IF('Roulement V2'!J45="TE","Doublon · Dijon",""))</f>
      </c>
      <c r="F10" t="str" s="2" cm="1">
        <f t="array" ref="F10">_xlfn.TEXTJOIN(" + ",TRUE,IF('Roulement V2'!K44="TE","Garde · Beaune",""),IF('Roulement V2'!L44="TE","Garde · Dijon",""),IF('Roulement V2'!K45="TE","Doublon · Beaune",""),IF('Roulement V2'!L45="TE","Doublon · Dijon",""))</f>
      </c>
      <c r="G10" t="str" s="2" cm="1">
        <f t="array" ref="G10">_xlfn.TEXTJOIN(" + ",TRUE,IF('Roulement V2'!M44="TE","Garde · Beaune",""),IF('Roulement V2'!N44="TE","Garde · Dijon",""),IF('Roulement V2'!M45="TE","Doublon · Beaune",""),IF('Roulement V2'!N45="TE","Doublon · Dijon",""))</f>
      </c>
      <c r="H10" t="str" s="2" cm="1">
        <f t="array" ref="H10">_xlfn.TEXTJOIN(" + ",TRUE,IF('Roulement V2'!O44="TE","Garde · Beaune",""),IF('Roulement V2'!P44="TE","Garde · Dijon",""),IF('Roulement V2'!O45="TE","Doublon · Beaune",""),IF('Roulement V2'!P45="TE","Doublon · Dijon",""))</f>
        <v>Garde · Beaune</v>
      </c>
      <c r="I10" t="str" s="2" cm="1">
        <f t="array" ref="I10">_xlfn.TEXTJOIN(" + ",TRUE,IF('Roulement V2'!Q44="TE","Garde · Beaune",""),IF('Roulement V2'!R44="TE","Garde · Dijon",""),IF('Roulement V2'!Q45="TE","Doublon · Beaune",""),IF('Roulement V2'!R45="TE","Doublon · Dijon",""))</f>
      </c>
    </row>
    <row r="11" ht="13.55" customHeight="1">
      <c r="A11" t="s" s="30">
        <v>44</v>
      </c>
      <c r="B11" t="str" s="2" cm="1">
        <f t="array" ref="B11">_xlfn.TEXTJOIN(" + ",TRUE,IF('Roulement V2'!C46="TE","Garde · Beaune",""),IF('Roulement V2'!D46="TE","Garde · Dijon",""),IF('Roulement V2'!C47="TE","Doublon · Beaune",""),IF('Roulement V2'!D47="TE","Doublon · Dijon",""))</f>
      </c>
      <c r="C11" t="str" s="2" cm="1">
        <f t="array" ref="C11">_xlfn.TEXTJOIN(" + ",TRUE,IF('Roulement V2'!E46="TE","Garde · Beaune",""),IF('Roulement V2'!F46="TE","Garde · Dijon",""),IF('Roulement V2'!E47="TE","Doublon · Beaune",""),IF('Roulement V2'!F47="TE","Doublon · Dijon",""))</f>
      </c>
      <c r="D11" t="str" s="2" cm="1">
        <f t="array" ref="D11">_xlfn.TEXTJOIN(" + ",TRUE,IF('Roulement V2'!G46="TE","Garde · Beaune",""),IF('Roulement V2'!H46="TE","Garde · Dijon",""),IF('Roulement V2'!G47="TE","Doublon · Beaune",""),IF('Roulement V2'!H47="TE","Doublon · Dijon",""))</f>
        <v>Garde · Dijon</v>
      </c>
      <c r="E11" t="str" s="2" cm="1">
        <f t="array" ref="E11">_xlfn.TEXTJOIN(" + ",TRUE,IF('Roulement V2'!I46="TE","Garde · Beaune",""),IF('Roulement V2'!J46="TE","Garde · Dijon",""),IF('Roulement V2'!I47="TE","Doublon · Beaune",""),IF('Roulement V2'!J47="TE","Doublon · Dijon",""))</f>
      </c>
      <c r="F11" t="str" s="2" cm="1">
        <f t="array" ref="F11">_xlfn.TEXTJOIN(" + ",TRUE,IF('Roulement V2'!K46="TE","Garde · Beaune",""),IF('Roulement V2'!L46="TE","Garde · Dijon",""),IF('Roulement V2'!K47="TE","Doublon · Beaune",""),IF('Roulement V2'!L47="TE","Doublon · Dijon",""))</f>
      </c>
      <c r="G11" t="str" s="2" cm="1">
        <f t="array" ref="G11">_xlfn.TEXTJOIN(" + ",TRUE,IF('Roulement V2'!M46="TE","Garde · Beaune",""),IF('Roulement V2'!N46="TE","Garde · Dijon",""),IF('Roulement V2'!M47="TE","Doublon · Beaune",""),IF('Roulement V2'!N47="TE","Doublon · Dijon",""))</f>
      </c>
      <c r="H11" t="str" s="2" cm="1">
        <f t="array" ref="H11">_xlfn.TEXTJOIN(" + ",TRUE,IF('Roulement V2'!O46="TE","Garde · Beaune",""),IF('Roulement V2'!P46="TE","Garde · Dijon",""),IF('Roulement V2'!O47="TE","Doublon · Beaune",""),IF('Roulement V2'!P47="TE","Doublon · Dijon",""))</f>
        <v>Garde · Beaune</v>
      </c>
      <c r="I11" t="str" s="2" cm="1">
        <f t="array" ref="I11">_xlfn.TEXTJOIN(" + ",TRUE,IF('Roulement V2'!Q46="TE","Garde · Beaune",""),IF('Roulement V2'!R46="TE","Garde · Dijon",""),IF('Roulement V2'!Q47="TE","Doublon · Beaune",""),IF('Roulement V2'!R47="TE","Doublon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6</v>
      </c>
      <c r="C15" s="2"/>
      <c r="D15" t="s" s="30">
        <v>64</v>
      </c>
      <c r="E15" s="31" cm="1">
        <f t="array" ref="E15">COUNTIF(B5:I9,"*Beaune*")</f>
        <v>15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11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12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26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38" customWidth="1"/>
    <col min="2" max="9" width="18" style="38" customWidth="1"/>
    <col min="10" max="16384" width="6.67188" style="38" customWidth="1"/>
  </cols>
  <sheetData>
    <row r="1" ht="15.35" customHeight="1">
      <c r="A1" t="s" s="21">
        <v>74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V2'!C4="AS","J1 · 8h-16h · Beaune",""),IF('Roulement V2'!D4="AS","J1 · 8h-16h · Dijon",""),IF('Roulement V2'!C5="AS","J2 · 14h-22h · Beaune",""),IF('Roulement V2'!D5="AS","J2 · 14h-22h · Dijon",""),IF('Roulement V2'!C6="AS","journée · 8h-18h30 · Beaune",""),IF('Roulement V2'!D6="AS","journée · 8h-18h30 · Dijon",""),IF('Roulement V2'!C7="AS","journée · 8h-18h30 · Beaune",""),IF('Roulement V2'!D7="AS","journée · 8h-18h30 · Dijon",""),IF('Roulement V2'!C8="AS","J5 · 12h-20h · Beaune",""),IF('Roulement V2'!D8="AS","J5 · 12h-20h · Dijon",""),IF('Roulement V2'!C9="AS","préJ2/J6 · 8h-14h · Beaune",""),IF('Roulement V2'!D9="AS","préJ2/J6 · 8h-14h · Dijon",""),IF('Roulement V2'!C10="AS","journée · 8h-18h30 · Beaune",""),IF('Roulement V2'!D10="AS","journée · 8h-18h30 · Dijon",""),IF('Roulement V2'!C11="AS","journée · 8h-18h30 · Beaune",""),IF('Roulement V2'!D11="AS","journée · 8h-18h30 · Dijon",""))</f>
        <v>journée · 8h-18h30 · Beaune</v>
      </c>
      <c r="C5" t="str" s="2" cm="1">
        <f t="array" ref="C5">_xlfn.TEXTJOIN(" + ",TRUE,IF('Roulement V2'!E4="AS","J1 · 8h-16h · Beaune",""),IF('Roulement V2'!F4="AS","J1 · 8h-16h · Dijon",""),IF('Roulement V2'!E5="AS","J2 · 14h-22h · Beaune",""),IF('Roulement V2'!F5="AS","J2 · 14h-22h · Dijon",""),IF('Roulement V2'!E6="AS","journée · 8h-18h30 · Beaune",""),IF('Roulement V2'!F6="AS","journée · 8h-18h30 · Dijon",""),IF('Roulement V2'!E7="AS","journée · 8h-18h30 · Beaune",""),IF('Roulement V2'!F7="AS","journée · 8h-18h30 · Dijon",""),IF('Roulement V2'!E8="AS","J5 · 12h-20h · Beaune",""),IF('Roulement V2'!F8="AS","J5 · 12h-20h · Dijon",""),IF('Roulement V2'!E9="AS","préJ2/J6 · 8h-14h · Beaune",""),IF('Roulement V2'!F9="AS","préJ2/J6 · 8h-14h · Dijon",""),IF('Roulement V2'!E10="AS","journée · 8h-18h30 · Beaune",""),IF('Roulement V2'!F10="AS","journée · 8h-18h30 · Dijon",""),IF('Roulement V2'!E11="AS","journée · 8h-18h30 · Beaune",""),IF('Roulement V2'!F11="AS","journée · 8h-18h30 · Dijon",""))</f>
      </c>
      <c r="D5" t="str" s="2" cm="1">
        <f t="array" ref="D5">_xlfn.TEXTJOIN(" + ",TRUE,IF('Roulement V2'!G4="AS","J1 · 8h-16h · Beaune",""),IF('Roulement V2'!H4="AS","J1 · 8h-16h · Dijon",""),IF('Roulement V2'!G5="AS","J2 · 14h-22h · Beaune",""),IF('Roulement V2'!H5="AS","J2 · 14h-22h · Dijon",""),IF('Roulement V2'!G6="AS","journée · 8h-18h30 · Beaune",""),IF('Roulement V2'!H6="AS","journée · 8h-18h30 · Dijon",""),IF('Roulement V2'!G7="AS","journée · 8h-18h30 · Beaune",""),IF('Roulement V2'!H7="AS","journée · 8h-18h30 · Dijon",""),IF('Roulement V2'!G8="AS","J5 · 12h-20h · Beaune",""),IF('Roulement V2'!H8="AS","J5 · 12h-20h · Dijon",""),IF('Roulement V2'!G9="AS","préJ2/J6 · 8h-14h · Beaune",""),IF('Roulement V2'!H9="AS","préJ2/J6 · 8h-14h · Dijon",""),IF('Roulement V2'!G10="AS","journée · 8h-18h30 · Beaune",""),IF('Roulement V2'!H10="AS","journée · 8h-18h30 · Dijon",""),IF('Roulement V2'!G11="AS","journée · 8h-18h30 · Beaune",""),IF('Roulement V2'!H11="AS","journée · 8h-18h30 · Dijon",""))</f>
        <v>journée · 8h-18h30 · Dijon</v>
      </c>
      <c r="E5" t="str" s="2" cm="1">
        <f t="array" ref="E5">_xlfn.TEXTJOIN(" + ",TRUE,IF('Roulement V2'!I4="AS","J1 · 8h-16h · Beaune",""),IF('Roulement V2'!J4="AS","J1 · 8h-16h · Dijon",""),IF('Roulement V2'!I5="AS","J2 · 14h-22h · Beaune",""),IF('Roulement V2'!J5="AS","J2 · 14h-22h · Dijon",""),IF('Roulement V2'!I6="AS","journée · 8h-18h30 · Beaune",""),IF('Roulement V2'!J6="AS","journée · 8h-18h30 · Dijon",""),IF('Roulement V2'!I7="AS","journée · 8h-18h30 · Beaune",""),IF('Roulement V2'!J7="AS","journée · 8h-18h30 · Dijon",""),IF('Roulement V2'!I8="AS","J5 · 12h-20h · Beaune",""),IF('Roulement V2'!J8="AS","J5 · 12h-20h · Dijon",""),IF('Roulement V2'!I9="AS","préJ2/J6 · 8h-14h · Beaune",""),IF('Roulement V2'!J9="AS","préJ2/J6 · 8h-14h · Dijon",""),IF('Roulement V2'!I10="AS","journée · 8h-18h30 · Beaune",""),IF('Roulement V2'!J10="AS","journée · 8h-18h30 · Dijon",""),IF('Roulement V2'!I11="AS","journée · 8h-18h30 · Beaune",""),IF('Roulement V2'!J11="AS","journée · 8h-18h30 · Dijon",""))</f>
        <v>journée · 8h-18h30 · Dijon</v>
      </c>
      <c r="F5" t="str" s="2" cm="1">
        <f t="array" ref="F5">_xlfn.TEXTJOIN(" + ",TRUE,IF('Roulement V2'!K4="AS","J1 · 8h-16h · Beaune",""),IF('Roulement V2'!L4="AS","J1 · 8h-16h · Dijon",""),IF('Roulement V2'!K5="AS","J2 · 14h-22h · Beaune",""),IF('Roulement V2'!L5="AS","J2 · 14h-22h · Dijon",""),IF('Roulement V2'!K6="AS","journée · 8h-18h30 · Beaune",""),IF('Roulement V2'!L6="AS","journée · 8h-18h30 · Dijon",""),IF('Roulement V2'!K7="AS","journée · 8h-18h30 · Beaune",""),IF('Roulement V2'!L7="AS","journée · 8h-18h30 · Dijon",""),IF('Roulement V2'!K8="AS","J5 · 12h-20h · Beaune",""),IF('Roulement V2'!L8="AS","J5 · 12h-20h · Dijon",""),IF('Roulement V2'!K9="AS","préJ2/J6 · 8h-14h · Beaune",""),IF('Roulement V2'!L9="AS","préJ2/J6 · 8h-14h · Dijon",""),IF('Roulement V2'!K10="AS","journée · 8h-18h30 · Beaune",""),IF('Roulement V2'!L10="AS","journée · 8h-18h30 · Dijon",""),IF('Roulement V2'!K11="AS","journée · 8h-18h30 · Beaune",""),IF('Roulement V2'!L11="AS","journée · 8h-18h30 · Dijon",""))</f>
        <v>journée · 8h-18h30 · Dijon</v>
      </c>
      <c r="G5" t="str" s="2" cm="1">
        <f t="array" ref="G5">_xlfn.TEXTJOIN(" + ",TRUE,IF('Roulement V2'!M4="AS","J1 · 8h-16h · Beaune",""),IF('Roulement V2'!N4="AS","J1 · 8h-16h · Dijon",""),IF('Roulement V2'!M5="AS","J2 · 14h-22h · Beaune",""),IF('Roulement V2'!N5="AS","J2 · 14h-22h · Dijon",""),IF('Roulement V2'!M6="AS","journée · 8h-18h30 · Beaune",""),IF('Roulement V2'!N6="AS","journée · 8h-18h30 · Dijon",""),IF('Roulement V2'!M7="AS","journée · 8h-18h30 · Beaune",""),IF('Roulement V2'!N7="AS","journée · 8h-18h30 · Dijon",""),IF('Roulement V2'!M8="AS","J5 · 12h-20h · Beaune",""),IF('Roulement V2'!N8="AS","J5 · 12h-20h · Dijon",""),IF('Roulement V2'!M9="AS","préJ2/J6 · 8h-14h · Beaune",""),IF('Roulement V2'!N9="AS","préJ2/J6 · 8h-14h · Dijon",""),IF('Roulement V2'!M10="AS","journée · 8h-18h30 · Beaune",""),IF('Roulement V2'!N10="AS","journée · 8h-18h30 · Dijon",""),IF('Roulement V2'!M11="AS","journée · 8h-18h30 · Beaune",""),IF('Roulement V2'!N11="AS","journée · 8h-18h30 · Dijon",""))</f>
      </c>
      <c r="H5" t="str" s="2" cm="1">
        <f t="array" ref="H5">_xlfn.TEXTJOIN(" + ",TRUE,IF('Roulement V2'!O4="AS","J1 · 8h-16h · Beaune",""),IF('Roulement V2'!P4="AS","J1 · 8h-16h · Dijon",""),IF('Roulement V2'!O5="AS","J2 · 14h-22h · Beaune",""),IF('Roulement V2'!P5="AS","J2 · 14h-22h · Dijon",""),IF('Roulement V2'!O6="AS","journée · 8h-18h30 · Beaune",""),IF('Roulement V2'!P6="AS","journée · 8h-18h30 · Dijon",""),IF('Roulement V2'!O7="AS","journée · 8h-18h30 · Beaune",""),IF('Roulement V2'!P7="AS","journée · 8h-18h30 · Dijon",""),IF('Roulement V2'!O8="AS","J5 · 12h-20h · Beaune",""),IF('Roulement V2'!P8="AS","J5 · 12h-20h · Dijon",""),IF('Roulement V2'!O9="AS","préJ2/J6 · 8h-14h · Beaune",""),IF('Roulement V2'!P9="AS","préJ2/J6 · 8h-14h · Dijon",""),IF('Roulement V2'!O10="AS","journée · 8h-18h30 · Beaune",""),IF('Roulement V2'!P10="AS","journée · 8h-18h30 · Dijon",""),IF('Roulement V2'!O11="AS","journée · 8h-18h30 · Beaune",""),IF('Roulement V2'!P11="AS","journée · 8h-18h30 · Dijon",""))</f>
        <v>J2 · 14h-22h · Dijon</v>
      </c>
      <c r="I5" t="str" s="2" cm="1">
        <f t="array" ref="I5">_xlfn.TEXTJOIN(" + ",TRUE,IF('Roulement V2'!Q4="AS","J1 · 8h-16h · Beaune",""),IF('Roulement V2'!R4="AS","J1 · 8h-16h · Dijon",""),IF('Roulement V2'!Q5="AS","J2 · 14h-22h · Beaune",""),IF('Roulement V2'!R5="AS","J2 · 14h-22h · Dijon",""),IF('Roulement V2'!Q6="AS","journée · 8h-18h30 · Beaune",""),IF('Roulement V2'!R6="AS","journée · 8h-18h30 · Dijon",""),IF('Roulement V2'!Q7="AS","journée · 8h-18h30 · Beaune",""),IF('Roulement V2'!R7="AS","journée · 8h-18h30 · Dijon",""),IF('Roulement V2'!Q8="AS","J5 · 12h-20h · Beaune",""),IF('Roulement V2'!R8="AS","J5 · 12h-20h · Dijon",""),IF('Roulement V2'!Q9="AS","préJ2/J6 · 8h-14h · Beaune",""),IF('Roulement V2'!R9="AS","préJ2/J6 · 8h-14h · Dijon",""),IF('Roulement V2'!Q10="AS","journée · 8h-18h30 · Beaune",""),IF('Roulement V2'!R10="AS","journée · 8h-18h30 · Dijon",""),IF('Roulement V2'!Q11="AS","journée · 8h-18h30 · Beaune",""),IF('Roulement V2'!R11="AS","journée · 8h-18h30 · Dijon",""))</f>
        <v>journée · 8h-18h30 · Dijon</v>
      </c>
    </row>
    <row r="6" ht="13.55" customHeight="1">
      <c r="A6" t="s" s="30">
        <v>37</v>
      </c>
      <c r="B6" t="str" s="2" cm="1">
        <f t="array" ref="B6">_xlfn.TEXTJOIN(" + ",TRUE,IF('Roulement V2'!C12="AS","J1 · 8h-16h · Beaune",""),IF('Roulement V2'!D12="AS","J1 · 8h-16h · Dijon",""),IF('Roulement V2'!C13="AS","J2 · 14h-22h · Beaune",""),IF('Roulement V2'!D13="AS","J2 · 14h-22h · Dijon",""),IF('Roulement V2'!C14="AS","journée · 8h-18h30 · Beaune",""),IF('Roulement V2'!D14="AS","journée · 8h-18h30 · Dijon",""),IF('Roulement V2'!C15="AS","journée · 8h-18h30 · Beaune",""),IF('Roulement V2'!D15="AS","journée · 8h-18h30 · Dijon",""),IF('Roulement V2'!C16="AS","J5 · 12h-20h · Beaune",""),IF('Roulement V2'!D16="AS","J5 · 12h-20h · Dijon",""),IF('Roulement V2'!C17="AS","préJ2/J6 · 8h-14h · Beaune",""),IF('Roulement V2'!D17="AS","préJ2/J6 · 8h-14h · Dijon",""),IF('Roulement V2'!C18="AS","journée · 8h-18h30 · Beaune",""),IF('Roulement V2'!D18="AS","journée · 8h-18h30 · Dijon",""),IF('Roulement V2'!C19="AS","journée · 8h-18h30 · Beaune",""),IF('Roulement V2'!D19="AS","journée · 8h-18h30 · Dijon",""))</f>
        <v>journée · 8h-18h30 · Dijon</v>
      </c>
      <c r="C6" t="str" s="2" cm="1">
        <f t="array" ref="C6">_xlfn.TEXTJOIN(" + ",TRUE,IF('Roulement V2'!E12="AS","J1 · 8h-16h · Beaune",""),IF('Roulement V2'!F12="AS","J1 · 8h-16h · Dijon",""),IF('Roulement V2'!E13="AS","J2 · 14h-22h · Beaune",""),IF('Roulement V2'!F13="AS","J2 · 14h-22h · Dijon",""),IF('Roulement V2'!E14="AS","journée · 8h-18h30 · Beaune",""),IF('Roulement V2'!F14="AS","journée · 8h-18h30 · Dijon",""),IF('Roulement V2'!E15="AS","journée · 8h-18h30 · Beaune",""),IF('Roulement V2'!F15="AS","journée · 8h-18h30 · Dijon",""),IF('Roulement V2'!E16="AS","J5 · 12h-20h · Beaune",""),IF('Roulement V2'!F16="AS","J5 · 12h-20h · Dijon",""),IF('Roulement V2'!E17="AS","préJ2/J6 · 8h-14h · Beaune",""),IF('Roulement V2'!F17="AS","préJ2/J6 · 8h-14h · Dijon",""),IF('Roulement V2'!E18="AS","journée · 8h-18h30 · Beaune",""),IF('Roulement V2'!F18="AS","journée · 8h-18h30 · Dijon",""),IF('Roulement V2'!E19="AS","journée · 8h-18h30 · Beaune",""),IF('Roulement V2'!F19="AS","journée · 8h-18h30 · Dijon",""))</f>
        <v>journée · 8h-18h30 · Dijon</v>
      </c>
      <c r="D6" t="str" s="2" cm="1">
        <f t="array" ref="D6">_xlfn.TEXTJOIN(" + ",TRUE,IF('Roulement V2'!G12="AS","J1 · 8h-16h · Beaune",""),IF('Roulement V2'!H12="AS","J1 · 8h-16h · Dijon",""),IF('Roulement V2'!G13="AS","J2 · 14h-22h · Beaune",""),IF('Roulement V2'!H13="AS","J2 · 14h-22h · Dijon",""),IF('Roulement V2'!G14="AS","journée · 8h-18h30 · Beaune",""),IF('Roulement V2'!H14="AS","journée · 8h-18h30 · Dijon",""),IF('Roulement V2'!G15="AS","journée · 8h-18h30 · Beaune",""),IF('Roulement V2'!H15="AS","journée · 8h-18h30 · Dijon",""),IF('Roulement V2'!G16="AS","J5 · 12h-20h · Beaune",""),IF('Roulement V2'!H16="AS","J5 · 12h-20h · Dijon",""),IF('Roulement V2'!G17="AS","préJ2/J6 · 8h-14h · Beaune",""),IF('Roulement V2'!H17="AS","préJ2/J6 · 8h-14h · Dijon",""),IF('Roulement V2'!G18="AS","journée · 8h-18h30 · Beaune",""),IF('Roulement V2'!H18="AS","journée · 8h-18h30 · Dijon",""),IF('Roulement V2'!G19="AS","journée · 8h-18h30 · Beaune",""),IF('Roulement V2'!H19="AS","journée · 8h-18h30 · Dijon",""))</f>
      </c>
      <c r="E6" t="str" s="2" cm="1">
        <f t="array" ref="E6">_xlfn.TEXTJOIN(" + ",TRUE,IF('Roulement V2'!I12="AS","J1 · 8h-16h · Beaune",""),IF('Roulement V2'!J12="AS","J1 · 8h-16h · Dijon",""),IF('Roulement V2'!I13="AS","J2 · 14h-22h · Beaune",""),IF('Roulement V2'!J13="AS","J2 · 14h-22h · Dijon",""),IF('Roulement V2'!I14="AS","journée · 8h-18h30 · Beaune",""),IF('Roulement V2'!J14="AS","journée · 8h-18h30 · Dijon",""),IF('Roulement V2'!I15="AS","journée · 8h-18h30 · Beaune",""),IF('Roulement V2'!J15="AS","journée · 8h-18h30 · Dijon",""),IF('Roulement V2'!I16="AS","J5 · 12h-20h · Beaune",""),IF('Roulement V2'!J16="AS","J5 · 12h-20h · Dijon",""),IF('Roulement V2'!I17="AS","préJ2/J6 · 8h-14h · Beaune",""),IF('Roulement V2'!J17="AS","préJ2/J6 · 8h-14h · Dijon",""),IF('Roulement V2'!I18="AS","journée · 8h-18h30 · Beaune",""),IF('Roulement V2'!J18="AS","journée · 8h-18h30 · Dijon",""),IF('Roulement V2'!I19="AS","journée · 8h-18h30 · Beaune",""),IF('Roulement V2'!J19="AS","journée · 8h-18h30 · Dijon",""))</f>
        <v>journée · 8h-18h30 · Dijon</v>
      </c>
      <c r="F6" t="str" s="2" cm="1">
        <f t="array" ref="F6">_xlfn.TEXTJOIN(" + ",TRUE,IF('Roulement V2'!K12="AS","J1 · 8h-16h · Beaune",""),IF('Roulement V2'!L12="AS","J1 · 8h-16h · Dijon",""),IF('Roulement V2'!K13="AS","J2 · 14h-22h · Beaune",""),IF('Roulement V2'!L13="AS","J2 · 14h-22h · Dijon",""),IF('Roulement V2'!K14="AS","journée · 8h-18h30 · Beaune",""),IF('Roulement V2'!L14="AS","journée · 8h-18h30 · Dijon",""),IF('Roulement V2'!K15="AS","journée · 8h-18h30 · Beaune",""),IF('Roulement V2'!L15="AS","journée · 8h-18h30 · Dijon",""),IF('Roulement V2'!K16="AS","J5 · 12h-20h · Beaune",""),IF('Roulement V2'!L16="AS","J5 · 12h-20h · Dijon",""),IF('Roulement V2'!K17="AS","préJ2/J6 · 8h-14h · Beaune",""),IF('Roulement V2'!L17="AS","préJ2/J6 · 8h-14h · Dijon",""),IF('Roulement V2'!K18="AS","journée · 8h-18h30 · Beaune",""),IF('Roulement V2'!L18="AS","journée · 8h-18h30 · Dijon",""),IF('Roulement V2'!K19="AS","journée · 8h-18h30 · Beaune",""),IF('Roulement V2'!L19="AS","journée · 8h-18h30 · Dijon",""))</f>
        <v>J2 · 14h-22h · Dijon</v>
      </c>
      <c r="G6" t="str" s="2" cm="1">
        <f t="array" ref="G6">_xlfn.TEXTJOIN(" + ",TRUE,IF('Roulement V2'!M12="AS","J1 · 8h-16h · Beaune",""),IF('Roulement V2'!N12="AS","J1 · 8h-16h · Dijon",""),IF('Roulement V2'!M13="AS","J2 · 14h-22h · Beaune",""),IF('Roulement V2'!N13="AS","J2 · 14h-22h · Dijon",""),IF('Roulement V2'!M14="AS","journée · 8h-18h30 · Beaune",""),IF('Roulement V2'!N14="AS","journée · 8h-18h30 · Dijon",""),IF('Roulement V2'!M15="AS","journée · 8h-18h30 · Beaune",""),IF('Roulement V2'!N15="AS","journée · 8h-18h30 · Dijon",""),IF('Roulement V2'!M16="AS","J5 · 12h-20h · Beaune",""),IF('Roulement V2'!N16="AS","J5 · 12h-20h · Dijon",""),IF('Roulement V2'!M17="AS","préJ2/J6 · 8h-14h · Beaune",""),IF('Roulement V2'!N17="AS","préJ2/J6 · 8h-14h · Dijon",""),IF('Roulement V2'!M18="AS","journée · 8h-18h30 · Beaune",""),IF('Roulement V2'!N18="AS","journée · 8h-18h30 · Dijon",""),IF('Roulement V2'!M19="AS","journée · 8h-18h30 · Beaune",""),IF('Roulement V2'!N19="AS","journée · 8h-18h30 · Dijon",""))</f>
      </c>
      <c r="H6" t="str" s="2" cm="1">
        <f t="array" ref="H6">_xlfn.TEXTJOIN(" + ",TRUE,IF('Roulement V2'!O12="AS","J1 · 8h-16h · Beaune",""),IF('Roulement V2'!P12="AS","J1 · 8h-16h · Dijon",""),IF('Roulement V2'!O13="AS","J2 · 14h-22h · Beaune",""),IF('Roulement V2'!P13="AS","J2 · 14h-22h · Dijon",""),IF('Roulement V2'!O14="AS","journée · 8h-18h30 · Beaune",""),IF('Roulement V2'!P14="AS","journée · 8h-18h30 · Dijon",""),IF('Roulement V2'!O15="AS","journée · 8h-18h30 · Beaune",""),IF('Roulement V2'!P15="AS","journée · 8h-18h30 · Dijon",""),IF('Roulement V2'!O16="AS","J5 · 12h-20h · Beaune",""),IF('Roulement V2'!P16="AS","J5 · 12h-20h · Dijon",""),IF('Roulement V2'!O17="AS","préJ2/J6 · 8h-14h · Beaune",""),IF('Roulement V2'!P17="AS","préJ2/J6 · 8h-14h · Dijon",""),IF('Roulement V2'!O18="AS","journée · 8h-18h30 · Beaune",""),IF('Roulement V2'!P18="AS","journée · 8h-18h30 · Dijon",""),IF('Roulement V2'!O19="AS","journée · 8h-18h30 · Beaune",""),IF('Roulement V2'!P19="AS","journée · 8h-18h30 · Dijon",""))</f>
        <v>journée · 8h-18h30 · Beaune</v>
      </c>
      <c r="I6" t="str" s="2" cm="1">
        <f t="array" ref="I6">_xlfn.TEXTJOIN(" + ",TRUE,IF('Roulement V2'!Q12="AS","J1 · 8h-16h · Beaune",""),IF('Roulement V2'!R12="AS","J1 · 8h-16h · Dijon",""),IF('Roulement V2'!Q13="AS","J2 · 14h-22h · Beaune",""),IF('Roulement V2'!R13="AS","J2 · 14h-22h · Dijon",""),IF('Roulement V2'!Q14="AS","journée · 8h-18h30 · Beaune",""),IF('Roulement V2'!R14="AS","journée · 8h-18h30 · Dijon",""),IF('Roulement V2'!Q15="AS","journée · 8h-18h30 · Beaune",""),IF('Roulement V2'!R15="AS","journée · 8h-18h30 · Dijon",""),IF('Roulement V2'!Q16="AS","J5 · 12h-20h · Beaune",""),IF('Roulement V2'!R16="AS","J5 · 12h-20h · Dijon",""),IF('Roulement V2'!Q17="AS","préJ2/J6 · 8h-14h · Beaune",""),IF('Roulement V2'!R17="AS","préJ2/J6 · 8h-14h · Dijon",""),IF('Roulement V2'!Q18="AS","journée · 8h-18h30 · Beaune",""),IF('Roulement V2'!R18="AS","journée · 8h-18h30 · Dijon",""),IF('Roulement V2'!Q19="AS","journée · 8h-18h30 · Beaune",""),IF('Roulement V2'!R19="AS","journée · 8h-18h30 · Dijon",""))</f>
        <v>journée · 8h-18h30 · Dijon</v>
      </c>
    </row>
    <row r="7" ht="13.55" customHeight="1">
      <c r="A7" t="s" s="30">
        <v>38</v>
      </c>
      <c r="B7" t="str" s="2" cm="1">
        <f t="array" ref="B7">_xlfn.TEXTJOIN(" + ",TRUE,IF('Roulement V2'!C20="AS","J1 · 8h-16h · Beaune",""),IF('Roulement V2'!D20="AS","J1 · 8h-16h · Dijon",""),IF('Roulement V2'!C21="AS","J2 · 14h-22h · Beaune",""),IF('Roulement V2'!D21="AS","J2 · 14h-22h · Dijon",""),IF('Roulement V2'!C22="AS","journée · 8h-18h30 · Beaune",""),IF('Roulement V2'!D22="AS","journée · 8h-18h30 · Dijon",""),IF('Roulement V2'!C23="AS","journée · 8h-18h30 · Beaune",""),IF('Roulement V2'!D23="AS","journée · 8h-18h30 · Dijon",""),IF('Roulement V2'!C24="AS","J5 · 12h-20h · Beaune",""),IF('Roulement V2'!D24="AS","J5 · 12h-20h · Dijon",""),IF('Roulement V2'!C25="AS","préJ2/J6 · 8h-14h · Beaune",""),IF('Roulement V2'!D25="AS","préJ2/J6 · 8h-14h · Dijon",""),IF('Roulement V2'!C26="AS","journée · 8h-18h30 · Beaune",""),IF('Roulement V2'!D26="AS","journée · 8h-18h30 · Dijon",""),IF('Roulement V2'!C27="AS","journée · 8h-18h30 · Beaune",""),IF('Roulement V2'!D27="AS","journée · 8h-18h30 · Dijon",""))</f>
        <v>J2 · 14h-22h · Dijon</v>
      </c>
      <c r="C7" t="str" s="2" cm="1">
        <f t="array" ref="C7">_xlfn.TEXTJOIN(" + ",TRUE,IF('Roulement V2'!E20="AS","J1 · 8h-16h · Beaune",""),IF('Roulement V2'!F20="AS","J1 · 8h-16h · Dijon",""),IF('Roulement V2'!E21="AS","J2 · 14h-22h · Beaune",""),IF('Roulement V2'!F21="AS","J2 · 14h-22h · Dijon",""),IF('Roulement V2'!E22="AS","journée · 8h-18h30 · Beaune",""),IF('Roulement V2'!F22="AS","journée · 8h-18h30 · Dijon",""),IF('Roulement V2'!E23="AS","journée · 8h-18h30 · Beaune",""),IF('Roulement V2'!F23="AS","journée · 8h-18h30 · Dijon",""),IF('Roulement V2'!E24="AS","J5 · 12h-20h · Beaune",""),IF('Roulement V2'!F24="AS","J5 · 12h-20h · Dijon",""),IF('Roulement V2'!E25="AS","préJ2/J6 · 8h-14h · Beaune",""),IF('Roulement V2'!F25="AS","préJ2/J6 · 8h-14h · Dijon",""),IF('Roulement V2'!E26="AS","journée · 8h-18h30 · Beaune",""),IF('Roulement V2'!F26="AS","journée · 8h-18h30 · Dijon",""),IF('Roulement V2'!E27="AS","journée · 8h-18h30 · Beaune",""),IF('Roulement V2'!F27="AS","journée · 8h-18h30 · Dijon",""))</f>
        <v>J2 · 14h-22h · Beaune</v>
      </c>
      <c r="D7" t="str" s="2" cm="1">
        <f t="array" ref="D7">_xlfn.TEXTJOIN(" + ",TRUE,IF('Roulement V2'!G20="AS","J1 · 8h-16h · Beaune",""),IF('Roulement V2'!H20="AS","J1 · 8h-16h · Dijon",""),IF('Roulement V2'!G21="AS","J2 · 14h-22h · Beaune",""),IF('Roulement V2'!H21="AS","J2 · 14h-22h · Dijon",""),IF('Roulement V2'!G22="AS","journée · 8h-18h30 · Beaune",""),IF('Roulement V2'!H22="AS","journée · 8h-18h30 · Dijon",""),IF('Roulement V2'!G23="AS","journée · 8h-18h30 · Beaune",""),IF('Roulement V2'!H23="AS","journée · 8h-18h30 · Dijon",""),IF('Roulement V2'!G24="AS","J5 · 12h-20h · Beaune",""),IF('Roulement V2'!H24="AS","J5 · 12h-20h · Dijon",""),IF('Roulement V2'!G25="AS","préJ2/J6 · 8h-14h · Beaune",""),IF('Roulement V2'!H25="AS","préJ2/J6 · 8h-14h · Dijon",""),IF('Roulement V2'!G26="AS","journée · 8h-18h30 · Beaune",""),IF('Roulement V2'!H26="AS","journée · 8h-18h30 · Dijon",""),IF('Roulement V2'!G27="AS","journée · 8h-18h30 · Beaune",""),IF('Roulement V2'!H27="AS","journée · 8h-18h30 · Dijon",""))</f>
        <v>J2 · 14h-22h · Dijon</v>
      </c>
      <c r="E7" t="str" s="2" cm="1">
        <f t="array" ref="E7">_xlfn.TEXTJOIN(" + ",TRUE,IF('Roulement V2'!I20="AS","J1 · 8h-16h · Beaune",""),IF('Roulement V2'!J20="AS","J1 · 8h-16h · Dijon",""),IF('Roulement V2'!I21="AS","J2 · 14h-22h · Beaune",""),IF('Roulement V2'!J21="AS","J2 · 14h-22h · Dijon",""),IF('Roulement V2'!I22="AS","journée · 8h-18h30 · Beaune",""),IF('Roulement V2'!J22="AS","journée · 8h-18h30 · Dijon",""),IF('Roulement V2'!I23="AS","journée · 8h-18h30 · Beaune",""),IF('Roulement V2'!J23="AS","journée · 8h-18h30 · Dijon",""),IF('Roulement V2'!I24="AS","J5 · 12h-20h · Beaune",""),IF('Roulement V2'!J24="AS","J5 · 12h-20h · Dijon",""),IF('Roulement V2'!I25="AS","préJ2/J6 · 8h-14h · Beaune",""),IF('Roulement V2'!J25="AS","préJ2/J6 · 8h-14h · Dijon",""),IF('Roulement V2'!I26="AS","journée · 8h-18h30 · Beaune",""),IF('Roulement V2'!J26="AS","journée · 8h-18h30 · Dijon",""),IF('Roulement V2'!I27="AS","journée · 8h-18h30 · Beaune",""),IF('Roulement V2'!J27="AS","journée · 8h-18h30 · Dijon",""))</f>
        <v>journée · 8h-18h30 · Dijon</v>
      </c>
      <c r="F7" t="str" s="2" cm="1">
        <f t="array" ref="F7">_xlfn.TEXTJOIN(" + ",TRUE,IF('Roulement V2'!K20="AS","J1 · 8h-16h · Beaune",""),IF('Roulement V2'!L20="AS","J1 · 8h-16h · Dijon",""),IF('Roulement V2'!K21="AS","J2 · 14h-22h · Beaune",""),IF('Roulement V2'!L21="AS","J2 · 14h-22h · Dijon",""),IF('Roulement V2'!K22="AS","journée · 8h-18h30 · Beaune",""),IF('Roulement V2'!L22="AS","journée · 8h-18h30 · Dijon",""),IF('Roulement V2'!K23="AS","journée · 8h-18h30 · Beaune",""),IF('Roulement V2'!L23="AS","journée · 8h-18h30 · Dijon",""),IF('Roulement V2'!K24="AS","J5 · 12h-20h · Beaune",""),IF('Roulement V2'!L24="AS","J5 · 12h-20h · Dijon",""),IF('Roulement V2'!K25="AS","préJ2/J6 · 8h-14h · Beaune",""),IF('Roulement V2'!L25="AS","préJ2/J6 · 8h-14h · Dijon",""),IF('Roulement V2'!K26="AS","journée · 8h-18h30 · Beaune",""),IF('Roulement V2'!L26="AS","journée · 8h-18h30 · Dijon",""),IF('Roulement V2'!K27="AS","journée · 8h-18h30 · Beaune",""),IF('Roulement V2'!L27="AS","journée · 8h-18h30 · Dijon",""))</f>
        <v>J2 · 14h-22h · Dijon</v>
      </c>
      <c r="G7" t="str" s="2" cm="1">
        <f t="array" ref="G7">_xlfn.TEXTJOIN(" + ",TRUE,IF('Roulement V2'!M20="AS","J1 · 8h-16h · Beaune",""),IF('Roulement V2'!N20="AS","J1 · 8h-16h · Dijon",""),IF('Roulement V2'!M21="AS","J2 · 14h-22h · Beaune",""),IF('Roulement V2'!N21="AS","J2 · 14h-22h · Dijon",""),IF('Roulement V2'!M22="AS","journée · 8h-18h30 · Beaune",""),IF('Roulement V2'!N22="AS","journée · 8h-18h30 · Dijon",""),IF('Roulement V2'!M23="AS","journée · 8h-18h30 · Beaune",""),IF('Roulement V2'!N23="AS","journée · 8h-18h30 · Dijon",""),IF('Roulement V2'!M24="AS","J5 · 12h-20h · Beaune",""),IF('Roulement V2'!N24="AS","J5 · 12h-20h · Dijon",""),IF('Roulement V2'!M25="AS","préJ2/J6 · 8h-14h · Beaune",""),IF('Roulement V2'!N25="AS","préJ2/J6 · 8h-14h · Dijon",""),IF('Roulement V2'!M26="AS","journée · 8h-18h30 · Beaune",""),IF('Roulement V2'!N26="AS","journée · 8h-18h30 · Dijon",""),IF('Roulement V2'!M27="AS","journée · 8h-18h30 · Beaune",""),IF('Roulement V2'!N27="AS","journée · 8h-18h30 · Dijon",""))</f>
        <v>J2 · 14h-22h · Dijon</v>
      </c>
      <c r="H7" t="str" s="2" cm="1">
        <f t="array" ref="H7">_xlfn.TEXTJOIN(" + ",TRUE,IF('Roulement V2'!O20="AS","J1 · 8h-16h · Beaune",""),IF('Roulement V2'!P20="AS","J1 · 8h-16h · Dijon",""),IF('Roulement V2'!O21="AS","J2 · 14h-22h · Beaune",""),IF('Roulement V2'!P21="AS","J2 · 14h-22h · Dijon",""),IF('Roulement V2'!O22="AS","journée · 8h-18h30 · Beaune",""),IF('Roulement V2'!P22="AS","journée · 8h-18h30 · Dijon",""),IF('Roulement V2'!O23="AS","journée · 8h-18h30 · Beaune",""),IF('Roulement V2'!P23="AS","journée · 8h-18h30 · Dijon",""),IF('Roulement V2'!O24="AS","J5 · 12h-20h · Beaune",""),IF('Roulement V2'!P24="AS","J5 · 12h-20h · Dijon",""),IF('Roulement V2'!O25="AS","préJ2/J6 · 8h-14h · Beaune",""),IF('Roulement V2'!P25="AS","préJ2/J6 · 8h-14h · Dijon",""),IF('Roulement V2'!O26="AS","journée · 8h-18h30 · Beaune",""),IF('Roulement V2'!P26="AS","journée · 8h-18h30 · Dijon",""),IF('Roulement V2'!O27="AS","journée · 8h-18h30 · Beaune",""),IF('Roulement V2'!P27="AS","journée · 8h-18h30 · Dijon",""))</f>
        <v>journée · 8h-18h30 · Dijon</v>
      </c>
      <c r="I7" t="str" s="2" cm="1">
        <f t="array" ref="I7">_xlfn.TEXTJOIN(" + ",TRUE,IF('Roulement V2'!Q20="AS","J1 · 8h-16h · Beaune",""),IF('Roulement V2'!R20="AS","J1 · 8h-16h · Dijon",""),IF('Roulement V2'!Q21="AS","J2 · 14h-22h · Beaune",""),IF('Roulement V2'!R21="AS","J2 · 14h-22h · Dijon",""),IF('Roulement V2'!Q22="AS","journée · 8h-18h30 · Beaune",""),IF('Roulement V2'!R22="AS","journée · 8h-18h30 · Dijon",""),IF('Roulement V2'!Q23="AS","journée · 8h-18h30 · Beaune",""),IF('Roulement V2'!R23="AS","journée · 8h-18h30 · Dijon",""),IF('Roulement V2'!Q24="AS","J5 · 12h-20h · Beaune",""),IF('Roulement V2'!R24="AS","J5 · 12h-20h · Dijon",""),IF('Roulement V2'!Q25="AS","préJ2/J6 · 8h-14h · Beaune",""),IF('Roulement V2'!R25="AS","préJ2/J6 · 8h-14h · Dijon",""),IF('Roulement V2'!Q26="AS","journée · 8h-18h30 · Beaune",""),IF('Roulement V2'!R26="AS","journée · 8h-18h30 · Dijon",""),IF('Roulement V2'!Q27="AS","journée · 8h-18h30 · Beaune",""),IF('Roulement V2'!R27="AS","journée · 8h-18h30 · Dijon",""))</f>
        <v>journée · 8h-18h30 · Dijon</v>
      </c>
    </row>
    <row r="8" ht="13.55" customHeight="1">
      <c r="A8" t="s" s="30">
        <v>39</v>
      </c>
      <c r="B8" t="str" s="2" cm="1">
        <f t="array" ref="B8">_xlfn.TEXTJOIN(" + ",TRUE,IF('Roulement V2'!C28="AS","J1 · 8h-16h · Beaune",""),IF('Roulement V2'!D28="AS","J1 · 8h-16h · Dijon",""),IF('Roulement V2'!C29="AS","J2 · 14h-22h · Beaune",""),IF('Roulement V2'!D29="AS","J2 · 14h-22h · Dijon",""),IF('Roulement V2'!C30="AS","journée · 8h-18h30 · Beaune",""),IF('Roulement V2'!D30="AS","journée · 8h-18h30 · Dijon",""),IF('Roulement V2'!C31="AS","journée · 8h-18h30 · Beaune",""),IF('Roulement V2'!D31="AS","journée · 8h-18h30 · Dijon",""),IF('Roulement V2'!C32="AS","J5 · 12h-20h · Beaune",""),IF('Roulement V2'!D32="AS","J5 · 12h-20h · Dijon",""),IF('Roulement V2'!C33="AS","préJ2/J6 · 8h-14h · Beaune",""),IF('Roulement V2'!D33="AS","préJ2/J6 · 8h-14h · Dijon",""),IF('Roulement V2'!C34="AS","journée · 8h-18h30 · Beaune",""),IF('Roulement V2'!D34="AS","journée · 8h-18h30 · Dijon",""),IF('Roulement V2'!C35="AS","journée · 8h-18h30 · Beaune",""),IF('Roulement V2'!D35="AS","journée · 8h-18h30 · Dijon",""))</f>
      </c>
      <c r="C8" t="str" s="2" cm="1">
        <f t="array" ref="C8">_xlfn.TEXTJOIN(" + ",TRUE,IF('Roulement V2'!E28="AS","J1 · 8h-16h · Beaune",""),IF('Roulement V2'!F28="AS","J1 · 8h-16h · Dijon",""),IF('Roulement V2'!E29="AS","J2 · 14h-22h · Beaune",""),IF('Roulement V2'!F29="AS","J2 · 14h-22h · Dijon",""),IF('Roulement V2'!E30="AS","journée · 8h-18h30 · Beaune",""),IF('Roulement V2'!F30="AS","journée · 8h-18h30 · Dijon",""),IF('Roulement V2'!E31="AS","journée · 8h-18h30 · Beaune",""),IF('Roulement V2'!F31="AS","journée · 8h-18h30 · Dijon",""),IF('Roulement V2'!E32="AS","J5 · 12h-20h · Beaune",""),IF('Roulement V2'!F32="AS","J5 · 12h-20h · Dijon",""),IF('Roulement V2'!E33="AS","préJ2/J6 · 8h-14h · Beaune",""),IF('Roulement V2'!F33="AS","préJ2/J6 · 8h-14h · Dijon",""),IF('Roulement V2'!E34="AS","journée · 8h-18h30 · Beaune",""),IF('Roulement V2'!F34="AS","journée · 8h-18h30 · Dijon",""),IF('Roulement V2'!E35="AS","journée · 8h-18h30 · Beaune",""),IF('Roulement V2'!F35="AS","journée · 8h-18h30 · Dijon",""))</f>
      </c>
      <c r="D8" t="str" s="2" cm="1">
        <f t="array" ref="D8">_xlfn.TEXTJOIN(" + ",TRUE,IF('Roulement V2'!G28="AS","J1 · 8h-16h · Beaune",""),IF('Roulement V2'!H28="AS","J1 · 8h-16h · Dijon",""),IF('Roulement V2'!G29="AS","J2 · 14h-22h · Beaune",""),IF('Roulement V2'!H29="AS","J2 · 14h-22h · Dijon",""),IF('Roulement V2'!G30="AS","journée · 8h-18h30 · Beaune",""),IF('Roulement V2'!H30="AS","journée · 8h-18h30 · Dijon",""),IF('Roulement V2'!G31="AS","journée · 8h-18h30 · Beaune",""),IF('Roulement V2'!H31="AS","journée · 8h-18h30 · Dijon",""),IF('Roulement V2'!G32="AS","J5 · 12h-20h · Beaune",""),IF('Roulement V2'!H32="AS","J5 · 12h-20h · Dijon",""),IF('Roulement V2'!G33="AS","préJ2/J6 · 8h-14h · Beaune",""),IF('Roulement V2'!H33="AS","préJ2/J6 · 8h-14h · Dijon",""),IF('Roulement V2'!G34="AS","journée · 8h-18h30 · Beaune",""),IF('Roulement V2'!H34="AS","journée · 8h-18h30 · Dijon",""),IF('Roulement V2'!G35="AS","journée · 8h-18h30 · Beaune",""),IF('Roulement V2'!H35="AS","journée · 8h-18h30 · Dijon",""))</f>
      </c>
      <c r="E8" t="str" s="2" cm="1">
        <f t="array" ref="E8">_xlfn.TEXTJOIN(" + ",TRUE,IF('Roulement V2'!I28="AS","J1 · 8h-16h · Beaune",""),IF('Roulement V2'!J28="AS","J1 · 8h-16h · Dijon",""),IF('Roulement V2'!I29="AS","J2 · 14h-22h · Beaune",""),IF('Roulement V2'!J29="AS","J2 · 14h-22h · Dijon",""),IF('Roulement V2'!I30="AS","journée · 8h-18h30 · Beaune",""),IF('Roulement V2'!J30="AS","journée · 8h-18h30 · Dijon",""),IF('Roulement V2'!I31="AS","journée · 8h-18h30 · Beaune",""),IF('Roulement V2'!J31="AS","journée · 8h-18h30 · Dijon",""),IF('Roulement V2'!I32="AS","J5 · 12h-20h · Beaune",""),IF('Roulement V2'!J32="AS","J5 · 12h-20h · Dijon",""),IF('Roulement V2'!I33="AS","préJ2/J6 · 8h-14h · Beaune",""),IF('Roulement V2'!J33="AS","préJ2/J6 · 8h-14h · Dijon",""),IF('Roulement V2'!I34="AS","journée · 8h-18h30 · Beaune",""),IF('Roulement V2'!J34="AS","journée · 8h-18h30 · Dijon",""),IF('Roulement V2'!I35="AS","journée · 8h-18h30 · Beaune",""),IF('Roulement V2'!J35="AS","journée · 8h-18h30 · Dijon",""))</f>
      </c>
      <c r="F8" t="str" s="2" cm="1">
        <f t="array" ref="F8">_xlfn.TEXTJOIN(" + ",TRUE,IF('Roulement V2'!K28="AS","J1 · 8h-16h · Beaune",""),IF('Roulement V2'!L28="AS","J1 · 8h-16h · Dijon",""),IF('Roulement V2'!K29="AS","J2 · 14h-22h · Beaune",""),IF('Roulement V2'!L29="AS","J2 · 14h-22h · Dijon",""),IF('Roulement V2'!K30="AS","journée · 8h-18h30 · Beaune",""),IF('Roulement V2'!L30="AS","journée · 8h-18h30 · Dijon",""),IF('Roulement V2'!K31="AS","journée · 8h-18h30 · Beaune",""),IF('Roulement V2'!L31="AS","journée · 8h-18h30 · Dijon",""),IF('Roulement V2'!K32="AS","J5 · 12h-20h · Beaune",""),IF('Roulement V2'!L32="AS","J5 · 12h-20h · Dijon",""),IF('Roulement V2'!K33="AS","préJ2/J6 · 8h-14h · Beaune",""),IF('Roulement V2'!L33="AS","préJ2/J6 · 8h-14h · Dijon",""),IF('Roulement V2'!K34="AS","journée · 8h-18h30 · Beaune",""),IF('Roulement V2'!L34="AS","journée · 8h-18h30 · Dijon",""),IF('Roulement V2'!K35="AS","journée · 8h-18h30 · Beaune",""),IF('Roulement V2'!L35="AS","journée · 8h-18h30 · Dijon",""))</f>
      </c>
      <c r="G8" t="str" s="2" cm="1">
        <f t="array" ref="G8">_xlfn.TEXTJOIN(" + ",TRUE,IF('Roulement V2'!M28="AS","J1 · 8h-16h · Beaune",""),IF('Roulement V2'!N28="AS","J1 · 8h-16h · Dijon",""),IF('Roulement V2'!M29="AS","J2 · 14h-22h · Beaune",""),IF('Roulement V2'!N29="AS","J2 · 14h-22h · Dijon",""),IF('Roulement V2'!M30="AS","journée · 8h-18h30 · Beaune",""),IF('Roulement V2'!N30="AS","journée · 8h-18h30 · Dijon",""),IF('Roulement V2'!M31="AS","journée · 8h-18h30 · Beaune",""),IF('Roulement V2'!N31="AS","journée · 8h-18h30 · Dijon",""),IF('Roulement V2'!M32="AS","J5 · 12h-20h · Beaune",""),IF('Roulement V2'!N32="AS","J5 · 12h-20h · Dijon",""),IF('Roulement V2'!M33="AS","préJ2/J6 · 8h-14h · Beaune",""),IF('Roulement V2'!N33="AS","préJ2/J6 · 8h-14h · Dijon",""),IF('Roulement V2'!M34="AS","journée · 8h-18h30 · Beaune",""),IF('Roulement V2'!N34="AS","journée · 8h-18h30 · Dijon",""),IF('Roulement V2'!M35="AS","journée · 8h-18h30 · Beaune",""),IF('Roulement V2'!N35="AS","journée · 8h-18h30 · Dijon",""))</f>
        <v>J2 · 14h-22h · Beaune</v>
      </c>
      <c r="H8" t="str" s="2" cm="1">
        <f t="array" ref="H8">_xlfn.TEXTJOIN(" + ",TRUE,IF('Roulement V2'!O28="AS","J1 · 8h-16h · Beaune",""),IF('Roulement V2'!P28="AS","J1 · 8h-16h · Dijon",""),IF('Roulement V2'!O29="AS","J2 · 14h-22h · Beaune",""),IF('Roulement V2'!P29="AS","J2 · 14h-22h · Dijon",""),IF('Roulement V2'!O30="AS","journée · 8h-18h30 · Beaune",""),IF('Roulement V2'!P30="AS","journée · 8h-18h30 · Dijon",""),IF('Roulement V2'!O31="AS","journée · 8h-18h30 · Beaune",""),IF('Roulement V2'!P31="AS","journée · 8h-18h30 · Dijon",""),IF('Roulement V2'!O32="AS","J5 · 12h-20h · Beaune",""),IF('Roulement V2'!P32="AS","J5 · 12h-20h · Dijon",""),IF('Roulement V2'!O33="AS","préJ2/J6 · 8h-14h · Beaune",""),IF('Roulement V2'!P33="AS","préJ2/J6 · 8h-14h · Dijon",""),IF('Roulement V2'!O34="AS","journée · 8h-18h30 · Beaune",""),IF('Roulement V2'!P34="AS","journée · 8h-18h30 · Dijon",""),IF('Roulement V2'!O35="AS","journée · 8h-18h30 · Beaune",""),IF('Roulement V2'!P35="AS","journée · 8h-18h30 · Dijon",""))</f>
      </c>
      <c r="I8" t="str" s="2" cm="1">
        <f t="array" ref="I8">_xlfn.TEXTJOIN(" + ",TRUE,IF('Roulement V2'!Q28="AS","J1 · 8h-16h · Beaune",""),IF('Roulement V2'!R28="AS","J1 · 8h-16h · Dijon",""),IF('Roulement V2'!Q29="AS","J2 · 14h-22h · Beaune",""),IF('Roulement V2'!R29="AS","J2 · 14h-22h · Dijon",""),IF('Roulement V2'!Q30="AS","journée · 8h-18h30 · Beaune",""),IF('Roulement V2'!R30="AS","journée · 8h-18h30 · Dijon",""),IF('Roulement V2'!Q31="AS","journée · 8h-18h30 · Beaune",""),IF('Roulement V2'!R31="AS","journée · 8h-18h30 · Dijon",""),IF('Roulement V2'!Q32="AS","J5 · 12h-20h · Beaune",""),IF('Roulement V2'!R32="AS","J5 · 12h-20h · Dijon",""),IF('Roulement V2'!Q33="AS","préJ2/J6 · 8h-14h · Beaune",""),IF('Roulement V2'!R33="AS","préJ2/J6 · 8h-14h · Dijon",""),IF('Roulement V2'!Q34="AS","journée · 8h-18h30 · Beaune",""),IF('Roulement V2'!R34="AS","journée · 8h-18h30 · Dijon",""),IF('Roulement V2'!Q35="AS","journée · 8h-18h30 · Beaune",""),IF('Roulement V2'!R35="AS","journée · 8h-18h30 · Dijon",""))</f>
      </c>
    </row>
    <row r="9" ht="13.55" customHeight="1">
      <c r="A9" t="s" s="30">
        <v>40</v>
      </c>
      <c r="B9" t="str" s="2" cm="1">
        <f t="array" ref="B9">_xlfn.TEXTJOIN(" + ",TRUE,IF('Roulement V2'!C36="AS","J1 · 8h-16h · Beaune",""),IF('Roulement V2'!D36="AS","J1 · 8h-16h · Dijon",""),IF('Roulement V2'!C37="AS","J2 · 14h-22h · Beaune",""),IF('Roulement V2'!D37="AS","J2 · 14h-22h · Dijon",""),IF('Roulement V2'!C38="AS","journée · 8h-18h30 · Beaune",""),IF('Roulement V2'!D38="AS","journée · 8h-18h30 · Dijon",""),IF('Roulement V2'!C39="AS","journée · 8h-18h30 · Beaune",""),IF('Roulement V2'!D39="AS","journée · 8h-18h30 · Dijon",""),IF('Roulement V2'!C40="AS","J5 · 12h-20h · Beaune",""),IF('Roulement V2'!D40="AS","J5 · 12h-20h · Dijon",""),IF('Roulement V2'!C41="AS","préJ2/J6 · 8h-14h · Beaune",""),IF('Roulement V2'!D41="AS","préJ2/J6 · 8h-14h · Dijon",""),IF('Roulement V2'!C42="AS","journée · 8h-18h30 · Beaune",""),IF('Roulement V2'!D42="AS","journée · 8h-18h30 · Dijon",""),IF('Roulement V2'!C43="AS","journée · 8h-18h30 · Beaune",""),IF('Roulement V2'!D43="AS","journée · 8h-18h30 · Dijon",""))</f>
      </c>
      <c r="C9" t="str" s="2" cm="1">
        <f t="array" ref="C9">_xlfn.TEXTJOIN(" + ",TRUE,IF('Roulement V2'!E36="AS","J1 · 8h-16h · Beaune",""),IF('Roulement V2'!F36="AS","J1 · 8h-16h · Dijon",""),IF('Roulement V2'!E37="AS","J2 · 14h-22h · Beaune",""),IF('Roulement V2'!F37="AS","J2 · 14h-22h · Dijon",""),IF('Roulement V2'!E38="AS","journée · 8h-18h30 · Beaune",""),IF('Roulement V2'!F38="AS","journée · 8h-18h30 · Dijon",""),IF('Roulement V2'!E39="AS","journée · 8h-18h30 · Beaune",""),IF('Roulement V2'!F39="AS","journée · 8h-18h30 · Dijon",""),IF('Roulement V2'!E40="AS","J5 · 12h-20h · Beaune",""),IF('Roulement V2'!F40="AS","J5 · 12h-20h · Dijon",""),IF('Roulement V2'!E41="AS","préJ2/J6 · 8h-14h · Beaune",""),IF('Roulement V2'!F41="AS","préJ2/J6 · 8h-14h · Dijon",""),IF('Roulement V2'!E42="AS","journée · 8h-18h30 · Beaune",""),IF('Roulement V2'!F42="AS","journée · 8h-18h30 · Dijon",""),IF('Roulement V2'!E43="AS","journée · 8h-18h30 · Beaune",""),IF('Roulement V2'!F43="AS","journée · 8h-18h30 · Dijon",""))</f>
        <v>journée · 8h-18h30 · Dijon</v>
      </c>
      <c r="D9" t="str" s="2" cm="1">
        <f t="array" ref="D9">_xlfn.TEXTJOIN(" + ",TRUE,IF('Roulement V2'!G36="AS","J1 · 8h-16h · Beaune",""),IF('Roulement V2'!H36="AS","J1 · 8h-16h · Dijon",""),IF('Roulement V2'!G37="AS","J2 · 14h-22h · Beaune",""),IF('Roulement V2'!H37="AS","J2 · 14h-22h · Dijon",""),IF('Roulement V2'!G38="AS","journée · 8h-18h30 · Beaune",""),IF('Roulement V2'!H38="AS","journée · 8h-18h30 · Dijon",""),IF('Roulement V2'!G39="AS","journée · 8h-18h30 · Beaune",""),IF('Roulement V2'!H39="AS","journée · 8h-18h30 · Dijon",""),IF('Roulement V2'!G40="AS","J5 · 12h-20h · Beaune",""),IF('Roulement V2'!H40="AS","J5 · 12h-20h · Dijon",""),IF('Roulement V2'!G41="AS","préJ2/J6 · 8h-14h · Beaune",""),IF('Roulement V2'!H41="AS","préJ2/J6 · 8h-14h · Dijon",""),IF('Roulement V2'!G42="AS","journée · 8h-18h30 · Beaune",""),IF('Roulement V2'!H42="AS","journée · 8h-18h30 · Dijon",""),IF('Roulement V2'!G43="AS","journée · 8h-18h30 · Beaune",""),IF('Roulement V2'!H43="AS","journée · 8h-18h30 · Dijon",""))</f>
      </c>
      <c r="E9" t="str" s="2" cm="1">
        <f t="array" ref="E9">_xlfn.TEXTJOIN(" + ",TRUE,IF('Roulement V2'!I36="AS","J1 · 8h-16h · Beaune",""),IF('Roulement V2'!J36="AS","J1 · 8h-16h · Dijon",""),IF('Roulement V2'!I37="AS","J2 · 14h-22h · Beaune",""),IF('Roulement V2'!J37="AS","J2 · 14h-22h · Dijon",""),IF('Roulement V2'!I38="AS","journée · 8h-18h30 · Beaune",""),IF('Roulement V2'!J38="AS","journée · 8h-18h30 · Dijon",""),IF('Roulement V2'!I39="AS","journée · 8h-18h30 · Beaune",""),IF('Roulement V2'!J39="AS","journée · 8h-18h30 · Dijon",""),IF('Roulement V2'!I40="AS","J5 · 12h-20h · Beaune",""),IF('Roulement V2'!J40="AS","J5 · 12h-20h · Dijon",""),IF('Roulement V2'!I41="AS","préJ2/J6 · 8h-14h · Beaune",""),IF('Roulement V2'!J41="AS","préJ2/J6 · 8h-14h · Dijon",""),IF('Roulement V2'!I42="AS","journée · 8h-18h30 · Beaune",""),IF('Roulement V2'!J42="AS","journée · 8h-18h30 · Dijon",""),IF('Roulement V2'!I43="AS","journée · 8h-18h30 · Beaune",""),IF('Roulement V2'!J43="AS","journée · 8h-18h30 · Dijon",""))</f>
        <v>J1 · 8h-16h · Beaune</v>
      </c>
      <c r="F9" t="str" s="2" cm="1">
        <f t="array" ref="F9">_xlfn.TEXTJOIN(" + ",TRUE,IF('Roulement V2'!K36="AS","J1 · 8h-16h · Beaune",""),IF('Roulement V2'!L36="AS","J1 · 8h-16h · Dijon",""),IF('Roulement V2'!K37="AS","J2 · 14h-22h · Beaune",""),IF('Roulement V2'!L37="AS","J2 · 14h-22h · Dijon",""),IF('Roulement V2'!K38="AS","journée · 8h-18h30 · Beaune",""),IF('Roulement V2'!L38="AS","journée · 8h-18h30 · Dijon",""),IF('Roulement V2'!K39="AS","journée · 8h-18h30 · Beaune",""),IF('Roulement V2'!L39="AS","journée · 8h-18h30 · Dijon",""),IF('Roulement V2'!K40="AS","J5 · 12h-20h · Beaune",""),IF('Roulement V2'!L40="AS","J5 · 12h-20h · Dijon",""),IF('Roulement V2'!K41="AS","préJ2/J6 · 8h-14h · Beaune",""),IF('Roulement V2'!L41="AS","préJ2/J6 · 8h-14h · Dijon",""),IF('Roulement V2'!K42="AS","journée · 8h-18h30 · Beaune",""),IF('Roulement V2'!L42="AS","journée · 8h-18h30 · Dijon",""),IF('Roulement V2'!K43="AS","journée · 8h-18h30 · Beaune",""),IF('Roulement V2'!L43="AS","journée · 8h-18h30 · Dijon",""))</f>
      </c>
      <c r="G9" t="str" s="2" cm="1">
        <f t="array" ref="G9">_xlfn.TEXTJOIN(" + ",TRUE,IF('Roulement V2'!M36="AS","J1 · 8h-16h · Beaune",""),IF('Roulement V2'!N36="AS","J1 · 8h-16h · Dijon",""),IF('Roulement V2'!M37="AS","J2 · 14h-22h · Beaune",""),IF('Roulement V2'!N37="AS","J2 · 14h-22h · Dijon",""),IF('Roulement V2'!M38="AS","journée · 8h-18h30 · Beaune",""),IF('Roulement V2'!N38="AS","journée · 8h-18h30 · Dijon",""),IF('Roulement V2'!M39="AS","journée · 8h-18h30 · Beaune",""),IF('Roulement V2'!N39="AS","journée · 8h-18h30 · Dijon",""),IF('Roulement V2'!M40="AS","J5 · 12h-20h · Beaune",""),IF('Roulement V2'!N40="AS","J5 · 12h-20h · Dijon",""),IF('Roulement V2'!M41="AS","préJ2/J6 · 8h-14h · Beaune",""),IF('Roulement V2'!N41="AS","préJ2/J6 · 8h-14h · Dijon",""),IF('Roulement V2'!M42="AS","journée · 8h-18h30 · Beaune",""),IF('Roulement V2'!N42="AS","journée · 8h-18h30 · Dijon",""),IF('Roulement V2'!M43="AS","journée · 8h-18h30 · Beaune",""),IF('Roulement V2'!N43="AS","journée · 8h-18h30 · Dijon",""))</f>
        <v>journée · 8h-18h30 · Dijon</v>
      </c>
      <c r="H9" t="str" s="2" cm="1">
        <f t="array" ref="H9">_xlfn.TEXTJOIN(" + ",TRUE,IF('Roulement V2'!O36="AS","J1 · 8h-16h · Beaune",""),IF('Roulement V2'!P36="AS","J1 · 8h-16h · Dijon",""),IF('Roulement V2'!O37="AS","J2 · 14h-22h · Beaune",""),IF('Roulement V2'!P37="AS","J2 · 14h-22h · Dijon",""),IF('Roulement V2'!O38="AS","journée · 8h-18h30 · Beaune",""),IF('Roulement V2'!P38="AS","journée · 8h-18h30 · Dijon",""),IF('Roulement V2'!O39="AS","journée · 8h-18h30 · Beaune",""),IF('Roulement V2'!P39="AS","journée · 8h-18h30 · Dijon",""),IF('Roulement V2'!O40="AS","J5 · 12h-20h · Beaune",""),IF('Roulement V2'!P40="AS","J5 · 12h-20h · Dijon",""),IF('Roulement V2'!O41="AS","préJ2/J6 · 8h-14h · Beaune",""),IF('Roulement V2'!P41="AS","préJ2/J6 · 8h-14h · Dijon",""),IF('Roulement V2'!O42="AS","journée · 8h-18h30 · Beaune",""),IF('Roulement V2'!P42="AS","journée · 8h-18h30 · Dijon",""),IF('Roulement V2'!O43="AS","journée · 8h-18h30 · Beaune",""),IF('Roulement V2'!P43="AS","journée · 8h-18h30 · Dijon",""))</f>
      </c>
      <c r="I9" t="str" s="2" cm="1">
        <f t="array" ref="I9">_xlfn.TEXTJOIN(" + ",TRUE,IF('Roulement V2'!Q36="AS","J1 · 8h-16h · Beaune",""),IF('Roulement V2'!R36="AS","J1 · 8h-16h · Dijon",""),IF('Roulement V2'!Q37="AS","J2 · 14h-22h · Beaune",""),IF('Roulement V2'!R37="AS","J2 · 14h-22h · Dijon",""),IF('Roulement V2'!Q38="AS","journée · 8h-18h30 · Beaune",""),IF('Roulement V2'!R38="AS","journée · 8h-18h30 · Dijon",""),IF('Roulement V2'!Q39="AS","journée · 8h-18h30 · Beaune",""),IF('Roulement V2'!R39="AS","journée · 8h-18h30 · Dijon",""),IF('Roulement V2'!Q40="AS","J5 · 12h-20h · Beaune",""),IF('Roulement V2'!R40="AS","J5 · 12h-20h · Dijon",""),IF('Roulement V2'!Q41="AS","préJ2/J6 · 8h-14h · Beaune",""),IF('Roulement V2'!R41="AS","préJ2/J6 · 8h-14h · Dijon",""),IF('Roulement V2'!Q42="AS","journée · 8h-18h30 · Beaune",""),IF('Roulement V2'!R42="AS","journée · 8h-18h30 · Dijon",""),IF('Roulement V2'!Q43="AS","journée · 8h-18h30 · Beaune",""),IF('Roulement V2'!R43="AS","journée · 8h-18h30 · Dijon",""))</f>
        <v>J1 · 8h-16h · Beaune</v>
      </c>
    </row>
    <row r="10" ht="13.55" customHeight="1">
      <c r="A10" t="s" s="30">
        <v>41</v>
      </c>
      <c r="B10" t="str" s="2" cm="1">
        <f t="array" ref="B10">_xlfn.TEXTJOIN(" + ",TRUE,IF('Roulement V2'!C44="AS","Garde · Beaune",""),IF('Roulement V2'!D44="AS","Garde · Dijon",""),IF('Roulement V2'!C45="AS","Doublon · Beaune",""),IF('Roulement V2'!D45="AS","Doublon · Dijon",""))</f>
        <v>Garde · Dijon</v>
      </c>
      <c r="C10" t="str" s="2" cm="1">
        <f t="array" ref="C10">_xlfn.TEXTJOIN(" + ",TRUE,IF('Roulement V2'!E44="AS","Garde · Beaune",""),IF('Roulement V2'!F44="AS","Garde · Dijon",""),IF('Roulement V2'!E45="AS","Doublon · Beaune",""),IF('Roulement V2'!F45="AS","Doublon · Dijon",""))</f>
      </c>
      <c r="D10" t="str" s="2" cm="1">
        <f t="array" ref="D10">_xlfn.TEXTJOIN(" + ",TRUE,IF('Roulement V2'!G44="AS","Garde · Beaune",""),IF('Roulement V2'!H44="AS","Garde · Dijon",""),IF('Roulement V2'!G45="AS","Doublon · Beaune",""),IF('Roulement V2'!H45="AS","Doublon · Dijon",""))</f>
      </c>
      <c r="E10" t="str" s="2" cm="1">
        <f t="array" ref="E10">_xlfn.TEXTJOIN(" + ",TRUE,IF('Roulement V2'!I44="AS","Garde · Beaune",""),IF('Roulement V2'!J44="AS","Garde · Dijon",""),IF('Roulement V2'!I45="AS","Doublon · Beaune",""),IF('Roulement V2'!J45="AS","Doublon · Dijon",""))</f>
      </c>
      <c r="F10" t="str" s="2" cm="1">
        <f t="array" ref="F10">_xlfn.TEXTJOIN(" + ",TRUE,IF('Roulement V2'!K44="AS","Garde · Beaune",""),IF('Roulement V2'!L44="AS","Garde · Dijon",""),IF('Roulement V2'!K45="AS","Doublon · Beaune",""),IF('Roulement V2'!L45="AS","Doublon · Dijon",""))</f>
        <v>Garde · Beaune</v>
      </c>
      <c r="G10" t="str" s="2" cm="1">
        <f t="array" ref="G10">_xlfn.TEXTJOIN(" + ",TRUE,IF('Roulement V2'!M44="AS","Garde · Beaune",""),IF('Roulement V2'!N44="AS","Garde · Dijon",""),IF('Roulement V2'!M45="AS","Doublon · Beaune",""),IF('Roulement V2'!N45="AS","Doublon · Dijon",""))</f>
      </c>
      <c r="H10" t="str" s="2" cm="1">
        <f t="array" ref="H10">_xlfn.TEXTJOIN(" + ",TRUE,IF('Roulement V2'!O44="AS","Garde · Beaune",""),IF('Roulement V2'!P44="AS","Garde · Dijon",""),IF('Roulement V2'!O45="AS","Doublon · Beaune",""),IF('Roulement V2'!P45="AS","Doublon · Dijon",""))</f>
      </c>
      <c r="I10" t="str" s="2" cm="1">
        <f t="array" ref="I10">_xlfn.TEXTJOIN(" + ",TRUE,IF('Roulement V2'!Q44="AS","Garde · Beaune",""),IF('Roulement V2'!R44="AS","Garde · Dijon",""),IF('Roulement V2'!Q45="AS","Doublon · Beaune",""),IF('Roulement V2'!R45="AS","Doublon · Dijon",""))</f>
      </c>
    </row>
    <row r="11" ht="13.55" customHeight="1">
      <c r="A11" t="s" s="30">
        <v>44</v>
      </c>
      <c r="B11" t="str" s="2" cm="1">
        <f t="array" ref="B11">_xlfn.TEXTJOIN(" + ",TRUE,IF('Roulement V2'!C46="AS","Garde · Beaune",""),IF('Roulement V2'!D46="AS","Garde · Dijon",""),IF('Roulement V2'!C47="AS","Doublon · Beaune",""),IF('Roulement V2'!D47="AS","Doublon · Dijon",""))</f>
        <v>Garde · Dijon</v>
      </c>
      <c r="C11" t="str" s="2" cm="1">
        <f t="array" ref="C11">_xlfn.TEXTJOIN(" + ",TRUE,IF('Roulement V2'!E46="AS","Garde · Beaune",""),IF('Roulement V2'!F46="AS","Garde · Dijon",""),IF('Roulement V2'!E47="AS","Doublon · Beaune",""),IF('Roulement V2'!F47="AS","Doublon · Dijon",""))</f>
      </c>
      <c r="D11" t="str" s="2" cm="1">
        <f t="array" ref="D11">_xlfn.TEXTJOIN(" + ",TRUE,IF('Roulement V2'!G46="AS","Garde · Beaune",""),IF('Roulement V2'!H46="AS","Garde · Dijon",""),IF('Roulement V2'!G47="AS","Doublon · Beaune",""),IF('Roulement V2'!H47="AS","Doublon · Dijon",""))</f>
      </c>
      <c r="E11" t="str" s="2" cm="1">
        <f t="array" ref="E11">_xlfn.TEXTJOIN(" + ",TRUE,IF('Roulement V2'!I46="AS","Garde · Beaune",""),IF('Roulement V2'!J46="AS","Garde · Dijon",""),IF('Roulement V2'!I47="AS","Doublon · Beaune",""),IF('Roulement V2'!J47="AS","Doublon · Dijon",""))</f>
      </c>
      <c r="F11" t="str" s="2" cm="1">
        <f t="array" ref="F11">_xlfn.TEXTJOIN(" + ",TRUE,IF('Roulement V2'!K46="AS","Garde · Beaune",""),IF('Roulement V2'!L46="AS","Garde · Dijon",""),IF('Roulement V2'!K47="AS","Doublon · Beaune",""),IF('Roulement V2'!L47="AS","Doublon · Dijon",""))</f>
        <v>Garde · Beaune</v>
      </c>
      <c r="G11" t="str" s="2" cm="1">
        <f t="array" ref="G11">_xlfn.TEXTJOIN(" + ",TRUE,IF('Roulement V2'!M46="AS","Garde · Beaune",""),IF('Roulement V2'!N46="AS","Garde · Dijon",""),IF('Roulement V2'!M47="AS","Doublon · Beaune",""),IF('Roulement V2'!N47="AS","Doublon · Dijon",""))</f>
      </c>
      <c r="H11" t="str" s="2" cm="1">
        <f t="array" ref="H11">_xlfn.TEXTJOIN(" + ",TRUE,IF('Roulement V2'!O46="AS","Garde · Beaune",""),IF('Roulement V2'!P46="AS","Garde · Dijon",""),IF('Roulement V2'!O47="AS","Doublon · Beaune",""),IF('Roulement V2'!P47="AS","Doublon · Dijon",""))</f>
      </c>
      <c r="I11" t="str" s="2" cm="1">
        <f t="array" ref="I11">_xlfn.TEXTJOIN(" + ",TRUE,IF('Roulement V2'!Q46="AS","Garde · Beaune",""),IF('Roulement V2'!R46="AS","Garde · Dijon",""),IF('Roulement V2'!Q47="AS","Doublon · Beaune",""),IF('Roulement V2'!R47="AS","Doublon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2</v>
      </c>
      <c r="C15" s="2"/>
      <c r="D15" t="s" s="30">
        <v>64</v>
      </c>
      <c r="E15" s="31" cm="1">
        <f t="array" ref="E15">COUNTIF(B5:I9,"*Beaune*")</f>
        <v>6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19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15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25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39" customWidth="1"/>
    <col min="2" max="9" width="18" style="39" customWidth="1"/>
    <col min="10" max="16384" width="6.67188" style="39" customWidth="1"/>
  </cols>
  <sheetData>
    <row r="1" ht="15.35" customHeight="1">
      <c r="A1" t="s" s="21">
        <v>75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V2'!C4="CB","J1 · 8h-16h · Beaune",""),IF('Roulement V2'!D4="CB","J1 · 8h-16h · Dijon",""),IF('Roulement V2'!C5="CB","J2 · 14h-22h · Beaune",""),IF('Roulement V2'!D5="CB","J2 · 14h-22h · Dijon",""),IF('Roulement V2'!C6="CB","journée · 8h-18h30 · Beaune",""),IF('Roulement V2'!D6="CB","journée · 8h-18h30 · Dijon",""),IF('Roulement V2'!C7="CB","journée · 8h-18h30 · Beaune",""),IF('Roulement V2'!D7="CB","journée · 8h-18h30 · Dijon",""),IF('Roulement V2'!C8="CB","J5 · 12h-20h · Beaune",""),IF('Roulement V2'!D8="CB","J5 · 12h-20h · Dijon",""),IF('Roulement V2'!C9="CB","préJ2/J6 · 8h-14h · Beaune",""),IF('Roulement V2'!D9="CB","préJ2/J6 · 8h-14h · Dijon",""),IF('Roulement V2'!C10="CB","journée · 8h-18h30 · Beaune",""),IF('Roulement V2'!D10="CB","journée · 8h-18h30 · Dijon",""),IF('Roulement V2'!C11="CB","journée · 8h-18h30 · Beaune",""),IF('Roulement V2'!D11="CB","journée · 8h-18h30 · Dijon",""))</f>
        <v>J1 · 8h-16h · Beaune</v>
      </c>
      <c r="C5" t="str" s="2" cm="1">
        <f t="array" ref="C5">_xlfn.TEXTJOIN(" + ",TRUE,IF('Roulement V2'!E4="CB","J1 · 8h-16h · Beaune",""),IF('Roulement V2'!F4="CB","J1 · 8h-16h · Dijon",""),IF('Roulement V2'!E5="CB","J2 · 14h-22h · Beaune",""),IF('Roulement V2'!F5="CB","J2 · 14h-22h · Dijon",""),IF('Roulement V2'!E6="CB","journée · 8h-18h30 · Beaune",""),IF('Roulement V2'!F6="CB","journée · 8h-18h30 · Dijon",""),IF('Roulement V2'!E7="CB","journée · 8h-18h30 · Beaune",""),IF('Roulement V2'!F7="CB","journée · 8h-18h30 · Dijon",""),IF('Roulement V2'!E8="CB","J5 · 12h-20h · Beaune",""),IF('Roulement V2'!F8="CB","J5 · 12h-20h · Dijon",""),IF('Roulement V2'!E9="CB","préJ2/J6 · 8h-14h · Beaune",""),IF('Roulement V2'!F9="CB","préJ2/J6 · 8h-14h · Dijon",""),IF('Roulement V2'!E10="CB","journée · 8h-18h30 · Beaune",""),IF('Roulement V2'!F10="CB","journée · 8h-18h30 · Dijon",""),IF('Roulement V2'!E11="CB","journée · 8h-18h30 · Beaune",""),IF('Roulement V2'!F11="CB","journée · 8h-18h30 · Dijon",""))</f>
      </c>
      <c r="D5" t="str" s="2" cm="1">
        <f t="array" ref="D5">_xlfn.TEXTJOIN(" + ",TRUE,IF('Roulement V2'!G4="CB","J1 · 8h-16h · Beaune",""),IF('Roulement V2'!H4="CB","J1 · 8h-16h · Dijon",""),IF('Roulement V2'!G5="CB","J2 · 14h-22h · Beaune",""),IF('Roulement V2'!H5="CB","J2 · 14h-22h · Dijon",""),IF('Roulement V2'!G6="CB","journée · 8h-18h30 · Beaune",""),IF('Roulement V2'!H6="CB","journée · 8h-18h30 · Dijon",""),IF('Roulement V2'!G7="CB","journée · 8h-18h30 · Beaune",""),IF('Roulement V2'!H7="CB","journée · 8h-18h30 · Dijon",""),IF('Roulement V2'!G8="CB","J5 · 12h-20h · Beaune",""),IF('Roulement V2'!H8="CB","J5 · 12h-20h · Dijon",""),IF('Roulement V2'!G9="CB","préJ2/J6 · 8h-14h · Beaune",""),IF('Roulement V2'!H9="CB","préJ2/J6 · 8h-14h · Dijon",""),IF('Roulement V2'!G10="CB","journée · 8h-18h30 · Beaune",""),IF('Roulement V2'!H10="CB","journée · 8h-18h30 · Dijon",""),IF('Roulement V2'!G11="CB","journée · 8h-18h30 · Beaune",""),IF('Roulement V2'!H11="CB","journée · 8h-18h30 · Dijon",""))</f>
        <v>journée · 8h-18h30 · Dijon</v>
      </c>
      <c r="E5" t="str" s="2" cm="1">
        <f t="array" ref="E5">_xlfn.TEXTJOIN(" + ",TRUE,IF('Roulement V2'!I4="CB","J1 · 8h-16h · Beaune",""),IF('Roulement V2'!J4="CB","J1 · 8h-16h · Dijon",""),IF('Roulement V2'!I5="CB","J2 · 14h-22h · Beaune",""),IF('Roulement V2'!J5="CB","J2 · 14h-22h · Dijon",""),IF('Roulement V2'!I6="CB","journée · 8h-18h30 · Beaune",""),IF('Roulement V2'!J6="CB","journée · 8h-18h30 · Dijon",""),IF('Roulement V2'!I7="CB","journée · 8h-18h30 · Beaune",""),IF('Roulement V2'!J7="CB","journée · 8h-18h30 · Dijon",""),IF('Roulement V2'!I8="CB","J5 · 12h-20h · Beaune",""),IF('Roulement V2'!J8="CB","J5 · 12h-20h · Dijon",""),IF('Roulement V2'!I9="CB","préJ2/J6 · 8h-14h · Beaune",""),IF('Roulement V2'!J9="CB","préJ2/J6 · 8h-14h · Dijon",""),IF('Roulement V2'!I10="CB","journée · 8h-18h30 · Beaune",""),IF('Roulement V2'!J10="CB","journée · 8h-18h30 · Dijon",""),IF('Roulement V2'!I11="CB","journée · 8h-18h30 · Beaune",""),IF('Roulement V2'!J11="CB","journée · 8h-18h30 · Dijon",""))</f>
        <v>J1 · 8h-16h · Beaune</v>
      </c>
      <c r="F5" t="str" s="2" cm="1">
        <f t="array" ref="F5">_xlfn.TEXTJOIN(" + ",TRUE,IF('Roulement V2'!K4="CB","J1 · 8h-16h · Beaune",""),IF('Roulement V2'!L4="CB","J1 · 8h-16h · Dijon",""),IF('Roulement V2'!K5="CB","J2 · 14h-22h · Beaune",""),IF('Roulement V2'!L5="CB","J2 · 14h-22h · Dijon",""),IF('Roulement V2'!K6="CB","journée · 8h-18h30 · Beaune",""),IF('Roulement V2'!L6="CB","journée · 8h-18h30 · Dijon",""),IF('Roulement V2'!K7="CB","journée · 8h-18h30 · Beaune",""),IF('Roulement V2'!L7="CB","journée · 8h-18h30 · Dijon",""),IF('Roulement V2'!K8="CB","J5 · 12h-20h · Beaune",""),IF('Roulement V2'!L8="CB","J5 · 12h-20h · Dijon",""),IF('Roulement V2'!K9="CB","préJ2/J6 · 8h-14h · Beaune",""),IF('Roulement V2'!L9="CB","préJ2/J6 · 8h-14h · Dijon",""),IF('Roulement V2'!K10="CB","journée · 8h-18h30 · Beaune",""),IF('Roulement V2'!L10="CB","journée · 8h-18h30 · Dijon",""),IF('Roulement V2'!K11="CB","journée · 8h-18h30 · Beaune",""),IF('Roulement V2'!L11="CB","journée · 8h-18h30 · Dijon",""))</f>
        <v>J1 · 8h-16h · Beaune</v>
      </c>
      <c r="G5" t="str" s="2" cm="1">
        <f t="array" ref="G5">_xlfn.TEXTJOIN(" + ",TRUE,IF('Roulement V2'!M4="CB","J1 · 8h-16h · Beaune",""),IF('Roulement V2'!N4="CB","J1 · 8h-16h · Dijon",""),IF('Roulement V2'!M5="CB","J2 · 14h-22h · Beaune",""),IF('Roulement V2'!N5="CB","J2 · 14h-22h · Dijon",""),IF('Roulement V2'!M6="CB","journée · 8h-18h30 · Beaune",""),IF('Roulement V2'!N6="CB","journée · 8h-18h30 · Dijon",""),IF('Roulement V2'!M7="CB","journée · 8h-18h30 · Beaune",""),IF('Roulement V2'!N7="CB","journée · 8h-18h30 · Dijon",""),IF('Roulement V2'!M8="CB","J5 · 12h-20h · Beaune",""),IF('Roulement V2'!N8="CB","J5 · 12h-20h · Dijon",""),IF('Roulement V2'!M9="CB","préJ2/J6 · 8h-14h · Beaune",""),IF('Roulement V2'!N9="CB","préJ2/J6 · 8h-14h · Dijon",""),IF('Roulement V2'!M10="CB","journée · 8h-18h30 · Beaune",""),IF('Roulement V2'!N10="CB","journée · 8h-18h30 · Dijon",""),IF('Roulement V2'!M11="CB","journée · 8h-18h30 · Beaune",""),IF('Roulement V2'!N11="CB","journée · 8h-18h30 · Dijon",""))</f>
      </c>
      <c r="H5" t="str" s="2" cm="1">
        <f t="array" ref="H5">_xlfn.TEXTJOIN(" + ",TRUE,IF('Roulement V2'!O4="CB","J1 · 8h-16h · Beaune",""),IF('Roulement V2'!P4="CB","J1 · 8h-16h · Dijon",""),IF('Roulement V2'!O5="CB","J2 · 14h-22h · Beaune",""),IF('Roulement V2'!P5="CB","J2 · 14h-22h · Dijon",""),IF('Roulement V2'!O6="CB","journée · 8h-18h30 · Beaune",""),IF('Roulement V2'!P6="CB","journée · 8h-18h30 · Dijon",""),IF('Roulement V2'!O7="CB","journée · 8h-18h30 · Beaune",""),IF('Roulement V2'!P7="CB","journée · 8h-18h30 · Dijon",""),IF('Roulement V2'!O8="CB","J5 · 12h-20h · Beaune",""),IF('Roulement V2'!P8="CB","J5 · 12h-20h · Dijon",""),IF('Roulement V2'!O9="CB","préJ2/J6 · 8h-14h · Beaune",""),IF('Roulement V2'!P9="CB","préJ2/J6 · 8h-14h · Dijon",""),IF('Roulement V2'!O10="CB","journée · 8h-18h30 · Beaune",""),IF('Roulement V2'!P10="CB","journée · 8h-18h30 · Dijon",""),IF('Roulement V2'!O11="CB","journée · 8h-18h30 · Beaune",""),IF('Roulement V2'!P11="CB","journée · 8h-18h30 · Dijon",""))</f>
        <v>J2 · 14h-22h · Beaune</v>
      </c>
      <c r="I5" t="str" s="2" cm="1">
        <f t="array" ref="I5">_xlfn.TEXTJOIN(" + ",TRUE,IF('Roulement V2'!Q4="CB","J1 · 8h-16h · Beaune",""),IF('Roulement V2'!R4="CB","J1 · 8h-16h · Dijon",""),IF('Roulement V2'!Q5="CB","J2 · 14h-22h · Beaune",""),IF('Roulement V2'!R5="CB","J2 · 14h-22h · Dijon",""),IF('Roulement V2'!Q6="CB","journée · 8h-18h30 · Beaune",""),IF('Roulement V2'!R6="CB","journée · 8h-18h30 · Dijon",""),IF('Roulement V2'!Q7="CB","journée · 8h-18h30 · Beaune",""),IF('Roulement V2'!R7="CB","journée · 8h-18h30 · Dijon",""),IF('Roulement V2'!Q8="CB","J5 · 12h-20h · Beaune",""),IF('Roulement V2'!R8="CB","J5 · 12h-20h · Dijon",""),IF('Roulement V2'!Q9="CB","préJ2/J6 · 8h-14h · Beaune",""),IF('Roulement V2'!R9="CB","préJ2/J6 · 8h-14h · Dijon",""),IF('Roulement V2'!Q10="CB","journée · 8h-18h30 · Beaune",""),IF('Roulement V2'!R10="CB","journée · 8h-18h30 · Dijon",""),IF('Roulement V2'!Q11="CB","journée · 8h-18h30 · Beaune",""),IF('Roulement V2'!R11="CB","journée · 8h-18h30 · Dijon",""))</f>
        <v>journée · 8h-18h30 · Dijon</v>
      </c>
    </row>
    <row r="6" ht="13.55" customHeight="1">
      <c r="A6" t="s" s="30">
        <v>37</v>
      </c>
      <c r="B6" t="str" s="2" cm="1">
        <f t="array" ref="B6">_xlfn.TEXTJOIN(" + ",TRUE,IF('Roulement V2'!C12="CB","J1 · 8h-16h · Beaune",""),IF('Roulement V2'!D12="CB","J1 · 8h-16h · Dijon",""),IF('Roulement V2'!C13="CB","J2 · 14h-22h · Beaune",""),IF('Roulement V2'!D13="CB","J2 · 14h-22h · Dijon",""),IF('Roulement V2'!C14="CB","journée · 8h-18h30 · Beaune",""),IF('Roulement V2'!D14="CB","journée · 8h-18h30 · Dijon",""),IF('Roulement V2'!C15="CB","journée · 8h-18h30 · Beaune",""),IF('Roulement V2'!D15="CB","journée · 8h-18h30 · Dijon",""),IF('Roulement V2'!C16="CB","J5 · 12h-20h · Beaune",""),IF('Roulement V2'!D16="CB","J5 · 12h-20h · Dijon",""),IF('Roulement V2'!C17="CB","préJ2/J6 · 8h-14h · Beaune",""),IF('Roulement V2'!D17="CB","préJ2/J6 · 8h-14h · Dijon",""),IF('Roulement V2'!C18="CB","journée · 8h-18h30 · Beaune",""),IF('Roulement V2'!D18="CB","journée · 8h-18h30 · Dijon",""),IF('Roulement V2'!C19="CB","journée · 8h-18h30 · Beaune",""),IF('Roulement V2'!D19="CB","journée · 8h-18h30 · Dijon",""))</f>
        <v>journée · 8h-18h30 · Dijon</v>
      </c>
      <c r="C6" t="str" s="2" cm="1">
        <f t="array" ref="C6">_xlfn.TEXTJOIN(" + ",TRUE,IF('Roulement V2'!E12="CB","J1 · 8h-16h · Beaune",""),IF('Roulement V2'!F12="CB","J1 · 8h-16h · Dijon",""),IF('Roulement V2'!E13="CB","J2 · 14h-22h · Beaune",""),IF('Roulement V2'!F13="CB","J2 · 14h-22h · Dijon",""),IF('Roulement V2'!E14="CB","journée · 8h-18h30 · Beaune",""),IF('Roulement V2'!F14="CB","journée · 8h-18h30 · Dijon",""),IF('Roulement V2'!E15="CB","journée · 8h-18h30 · Beaune",""),IF('Roulement V2'!F15="CB","journée · 8h-18h30 · Dijon",""),IF('Roulement V2'!E16="CB","J5 · 12h-20h · Beaune",""),IF('Roulement V2'!F16="CB","J5 · 12h-20h · Dijon",""),IF('Roulement V2'!E17="CB","préJ2/J6 · 8h-14h · Beaune",""),IF('Roulement V2'!F17="CB","préJ2/J6 · 8h-14h · Dijon",""),IF('Roulement V2'!E18="CB","journée · 8h-18h30 · Beaune",""),IF('Roulement V2'!F18="CB","journée · 8h-18h30 · Dijon",""),IF('Roulement V2'!E19="CB","journée · 8h-18h30 · Beaune",""),IF('Roulement V2'!F19="CB","journée · 8h-18h30 · Dijon",""))</f>
        <v>journée · 8h-18h30 · Dijon</v>
      </c>
      <c r="D6" t="str" s="2" cm="1">
        <f t="array" ref="D6">_xlfn.TEXTJOIN(" + ",TRUE,IF('Roulement V2'!G12="CB","J1 · 8h-16h · Beaune",""),IF('Roulement V2'!H12="CB","J1 · 8h-16h · Dijon",""),IF('Roulement V2'!G13="CB","J2 · 14h-22h · Beaune",""),IF('Roulement V2'!H13="CB","J2 · 14h-22h · Dijon",""),IF('Roulement V2'!G14="CB","journée · 8h-18h30 · Beaune",""),IF('Roulement V2'!H14="CB","journée · 8h-18h30 · Dijon",""),IF('Roulement V2'!G15="CB","journée · 8h-18h30 · Beaune",""),IF('Roulement V2'!H15="CB","journée · 8h-18h30 · Dijon",""),IF('Roulement V2'!G16="CB","J5 · 12h-20h · Beaune",""),IF('Roulement V2'!H16="CB","J5 · 12h-20h · Dijon",""),IF('Roulement V2'!G17="CB","préJ2/J6 · 8h-14h · Beaune",""),IF('Roulement V2'!H17="CB","préJ2/J6 · 8h-14h · Dijon",""),IF('Roulement V2'!G18="CB","journée · 8h-18h30 · Beaune",""),IF('Roulement V2'!H18="CB","journée · 8h-18h30 · Dijon",""),IF('Roulement V2'!G19="CB","journée · 8h-18h30 · Beaune",""),IF('Roulement V2'!H19="CB","journée · 8h-18h30 · Dijon",""))</f>
      </c>
      <c r="E6" t="str" s="2" cm="1">
        <f t="array" ref="E6">_xlfn.TEXTJOIN(" + ",TRUE,IF('Roulement V2'!I12="CB","J1 · 8h-16h · Beaune",""),IF('Roulement V2'!J12="CB","J1 · 8h-16h · Dijon",""),IF('Roulement V2'!I13="CB","J2 · 14h-22h · Beaune",""),IF('Roulement V2'!J13="CB","J2 · 14h-22h · Dijon",""),IF('Roulement V2'!I14="CB","journée · 8h-18h30 · Beaune",""),IF('Roulement V2'!J14="CB","journée · 8h-18h30 · Dijon",""),IF('Roulement V2'!I15="CB","journée · 8h-18h30 · Beaune",""),IF('Roulement V2'!J15="CB","journée · 8h-18h30 · Dijon",""),IF('Roulement V2'!I16="CB","J5 · 12h-20h · Beaune",""),IF('Roulement V2'!J16="CB","J5 · 12h-20h · Dijon",""),IF('Roulement V2'!I17="CB","préJ2/J6 · 8h-14h · Beaune",""),IF('Roulement V2'!J17="CB","préJ2/J6 · 8h-14h · Dijon",""),IF('Roulement V2'!I18="CB","journée · 8h-18h30 · Beaune",""),IF('Roulement V2'!J18="CB","journée · 8h-18h30 · Dijon",""),IF('Roulement V2'!I19="CB","journée · 8h-18h30 · Beaune",""),IF('Roulement V2'!J19="CB","journée · 8h-18h30 · Dijon",""))</f>
      </c>
      <c r="F6" t="str" s="2" cm="1">
        <f t="array" ref="F6">_xlfn.TEXTJOIN(" + ",TRUE,IF('Roulement V2'!K12="CB","J1 · 8h-16h · Beaune",""),IF('Roulement V2'!L12="CB","J1 · 8h-16h · Dijon",""),IF('Roulement V2'!K13="CB","J2 · 14h-22h · Beaune",""),IF('Roulement V2'!L13="CB","J2 · 14h-22h · Dijon",""),IF('Roulement V2'!K14="CB","journée · 8h-18h30 · Beaune",""),IF('Roulement V2'!L14="CB","journée · 8h-18h30 · Dijon",""),IF('Roulement V2'!K15="CB","journée · 8h-18h30 · Beaune",""),IF('Roulement V2'!L15="CB","journée · 8h-18h30 · Dijon",""),IF('Roulement V2'!K16="CB","J5 · 12h-20h · Beaune",""),IF('Roulement V2'!L16="CB","J5 · 12h-20h · Dijon",""),IF('Roulement V2'!K17="CB","préJ2/J6 · 8h-14h · Beaune",""),IF('Roulement V2'!L17="CB","préJ2/J6 · 8h-14h · Dijon",""),IF('Roulement V2'!K18="CB","journée · 8h-18h30 · Beaune",""),IF('Roulement V2'!L18="CB","journée · 8h-18h30 · Dijon",""),IF('Roulement V2'!K19="CB","journée · 8h-18h30 · Beaune",""),IF('Roulement V2'!L19="CB","journée · 8h-18h30 · Dijon",""))</f>
        <v>journée · 8h-18h30 · Dijon</v>
      </c>
      <c r="G6" t="str" s="2" cm="1">
        <f t="array" ref="G6">_xlfn.TEXTJOIN(" + ",TRUE,IF('Roulement V2'!M12="CB","J1 · 8h-16h · Beaune",""),IF('Roulement V2'!N12="CB","J1 · 8h-16h · Dijon",""),IF('Roulement V2'!M13="CB","J2 · 14h-22h · Beaune",""),IF('Roulement V2'!N13="CB","J2 · 14h-22h · Dijon",""),IF('Roulement V2'!M14="CB","journée · 8h-18h30 · Beaune",""),IF('Roulement V2'!N14="CB","journée · 8h-18h30 · Dijon",""),IF('Roulement V2'!M15="CB","journée · 8h-18h30 · Beaune",""),IF('Roulement V2'!N15="CB","journée · 8h-18h30 · Dijon",""),IF('Roulement V2'!M16="CB","J5 · 12h-20h · Beaune",""),IF('Roulement V2'!N16="CB","J5 · 12h-20h · Dijon",""),IF('Roulement V2'!M17="CB","préJ2/J6 · 8h-14h · Beaune",""),IF('Roulement V2'!N17="CB","préJ2/J6 · 8h-14h · Dijon",""),IF('Roulement V2'!M18="CB","journée · 8h-18h30 · Beaune",""),IF('Roulement V2'!N18="CB","journée · 8h-18h30 · Dijon",""),IF('Roulement V2'!M19="CB","journée · 8h-18h30 · Beaune",""),IF('Roulement V2'!N19="CB","journée · 8h-18h30 · Dijon",""))</f>
        <v>journée · 8h-18h30 · Dijon</v>
      </c>
      <c r="H6" t="str" s="2" cm="1">
        <f t="array" ref="H6">_xlfn.TEXTJOIN(" + ",TRUE,IF('Roulement V2'!O12="CB","J1 · 8h-16h · Beaune",""),IF('Roulement V2'!P12="CB","J1 · 8h-16h · Dijon",""),IF('Roulement V2'!O13="CB","J2 · 14h-22h · Beaune",""),IF('Roulement V2'!P13="CB","J2 · 14h-22h · Dijon",""),IF('Roulement V2'!O14="CB","journée · 8h-18h30 · Beaune",""),IF('Roulement V2'!P14="CB","journée · 8h-18h30 · Dijon",""),IF('Roulement V2'!O15="CB","journée · 8h-18h30 · Beaune",""),IF('Roulement V2'!P15="CB","journée · 8h-18h30 · Dijon",""),IF('Roulement V2'!O16="CB","J5 · 12h-20h · Beaune",""),IF('Roulement V2'!P16="CB","J5 · 12h-20h · Dijon",""),IF('Roulement V2'!O17="CB","préJ2/J6 · 8h-14h · Beaune",""),IF('Roulement V2'!P17="CB","préJ2/J6 · 8h-14h · Dijon",""),IF('Roulement V2'!O18="CB","journée · 8h-18h30 · Beaune",""),IF('Roulement V2'!P18="CB","journée · 8h-18h30 · Dijon",""),IF('Roulement V2'!O19="CB","journée · 8h-18h30 · Beaune",""),IF('Roulement V2'!P19="CB","journée · 8h-18h30 · Dijon",""))</f>
        <v>journée · 8h-18h30 · Dijon</v>
      </c>
      <c r="I6" t="str" s="2" cm="1">
        <f t="array" ref="I6">_xlfn.TEXTJOIN(" + ",TRUE,IF('Roulement V2'!Q12="CB","J1 · 8h-16h · Beaune",""),IF('Roulement V2'!R12="CB","J1 · 8h-16h · Dijon",""),IF('Roulement V2'!Q13="CB","J2 · 14h-22h · Beaune",""),IF('Roulement V2'!R13="CB","J2 · 14h-22h · Dijon",""),IF('Roulement V2'!Q14="CB","journée · 8h-18h30 · Beaune",""),IF('Roulement V2'!R14="CB","journée · 8h-18h30 · Dijon",""),IF('Roulement V2'!Q15="CB","journée · 8h-18h30 · Beaune",""),IF('Roulement V2'!R15="CB","journée · 8h-18h30 · Dijon",""),IF('Roulement V2'!Q16="CB","J5 · 12h-20h · Beaune",""),IF('Roulement V2'!R16="CB","J5 · 12h-20h · Dijon",""),IF('Roulement V2'!Q17="CB","préJ2/J6 · 8h-14h · Beaune",""),IF('Roulement V2'!R17="CB","préJ2/J6 · 8h-14h · Dijon",""),IF('Roulement V2'!Q18="CB","journée · 8h-18h30 · Beaune",""),IF('Roulement V2'!R18="CB","journée · 8h-18h30 · Dijon",""),IF('Roulement V2'!Q19="CB","journée · 8h-18h30 · Beaune",""),IF('Roulement V2'!R19="CB","journée · 8h-18h30 · Dijon",""))</f>
        <v>journée · 8h-18h30 · Dijon</v>
      </c>
    </row>
    <row r="7" ht="13.55" customHeight="1">
      <c r="A7" t="s" s="30">
        <v>38</v>
      </c>
      <c r="B7" t="str" s="2" cm="1">
        <f t="array" ref="B7">_xlfn.TEXTJOIN(" + ",TRUE,IF('Roulement V2'!C20="CB","J1 · 8h-16h · Beaune",""),IF('Roulement V2'!D20="CB","J1 · 8h-16h · Dijon",""),IF('Roulement V2'!C21="CB","J2 · 14h-22h · Beaune",""),IF('Roulement V2'!D21="CB","J2 · 14h-22h · Dijon",""),IF('Roulement V2'!C22="CB","journée · 8h-18h30 · Beaune",""),IF('Roulement V2'!D22="CB","journée · 8h-18h30 · Dijon",""),IF('Roulement V2'!C23="CB","journée · 8h-18h30 · Beaune",""),IF('Roulement V2'!D23="CB","journée · 8h-18h30 · Dijon",""),IF('Roulement V2'!C24="CB","J5 · 12h-20h · Beaune",""),IF('Roulement V2'!D24="CB","J5 · 12h-20h · Dijon",""),IF('Roulement V2'!C25="CB","préJ2/J6 · 8h-14h · Beaune",""),IF('Roulement V2'!D25="CB","préJ2/J6 · 8h-14h · Dijon",""),IF('Roulement V2'!C26="CB","journée · 8h-18h30 · Beaune",""),IF('Roulement V2'!D26="CB","journée · 8h-18h30 · Dijon",""),IF('Roulement V2'!C27="CB","journée · 8h-18h30 · Beaune",""),IF('Roulement V2'!D27="CB","journée · 8h-18h30 · Dijon",""))</f>
      </c>
      <c r="C7" t="str" s="2" cm="1">
        <f t="array" ref="C7">_xlfn.TEXTJOIN(" + ",TRUE,IF('Roulement V2'!E20="CB","J1 · 8h-16h · Beaune",""),IF('Roulement V2'!F20="CB","J1 · 8h-16h · Dijon",""),IF('Roulement V2'!E21="CB","J2 · 14h-22h · Beaune",""),IF('Roulement V2'!F21="CB","J2 · 14h-22h · Dijon",""),IF('Roulement V2'!E22="CB","journée · 8h-18h30 · Beaune",""),IF('Roulement V2'!F22="CB","journée · 8h-18h30 · Dijon",""),IF('Roulement V2'!E23="CB","journée · 8h-18h30 · Beaune",""),IF('Roulement V2'!F23="CB","journée · 8h-18h30 · Dijon",""),IF('Roulement V2'!E24="CB","J5 · 12h-20h · Beaune",""),IF('Roulement V2'!F24="CB","J5 · 12h-20h · Dijon",""),IF('Roulement V2'!E25="CB","préJ2/J6 · 8h-14h · Beaune",""),IF('Roulement V2'!F25="CB","préJ2/J6 · 8h-14h · Dijon",""),IF('Roulement V2'!E26="CB","journée · 8h-18h30 · Beaune",""),IF('Roulement V2'!F26="CB","journée · 8h-18h30 · Dijon",""),IF('Roulement V2'!E27="CB","journée · 8h-18h30 · Beaune",""),IF('Roulement V2'!F27="CB","journée · 8h-18h30 · Dijon",""))</f>
        <v>J2 · 14h-22h · Dijon</v>
      </c>
      <c r="D7" t="str" s="2" cm="1">
        <f t="array" ref="D7">_xlfn.TEXTJOIN(" + ",TRUE,IF('Roulement V2'!G20="CB","J1 · 8h-16h · Beaune",""),IF('Roulement V2'!H20="CB","J1 · 8h-16h · Dijon",""),IF('Roulement V2'!G21="CB","J2 · 14h-22h · Beaune",""),IF('Roulement V2'!H21="CB","J2 · 14h-22h · Dijon",""),IF('Roulement V2'!G22="CB","journée · 8h-18h30 · Beaune",""),IF('Roulement V2'!H22="CB","journée · 8h-18h30 · Dijon",""),IF('Roulement V2'!G23="CB","journée · 8h-18h30 · Beaune",""),IF('Roulement V2'!H23="CB","journée · 8h-18h30 · Dijon",""),IF('Roulement V2'!G24="CB","J5 · 12h-20h · Beaune",""),IF('Roulement V2'!H24="CB","J5 · 12h-20h · Dijon",""),IF('Roulement V2'!G25="CB","préJ2/J6 · 8h-14h · Beaune",""),IF('Roulement V2'!H25="CB","préJ2/J6 · 8h-14h · Dijon",""),IF('Roulement V2'!G26="CB","journée · 8h-18h30 · Beaune",""),IF('Roulement V2'!H26="CB","journée · 8h-18h30 · Dijon",""),IF('Roulement V2'!G27="CB","journée · 8h-18h30 · Beaune",""),IF('Roulement V2'!H27="CB","journée · 8h-18h30 · Dijon",""))</f>
        <v>J2 · 14h-22h · Beaune</v>
      </c>
      <c r="E7" t="str" s="2" cm="1">
        <f t="array" ref="E7">_xlfn.TEXTJOIN(" + ",TRUE,IF('Roulement V2'!I20="CB","J1 · 8h-16h · Beaune",""),IF('Roulement V2'!J20="CB","J1 · 8h-16h · Dijon",""),IF('Roulement V2'!I21="CB","J2 · 14h-22h · Beaune",""),IF('Roulement V2'!J21="CB","J2 · 14h-22h · Dijon",""),IF('Roulement V2'!I22="CB","journée · 8h-18h30 · Beaune",""),IF('Roulement V2'!J22="CB","journée · 8h-18h30 · Dijon",""),IF('Roulement V2'!I23="CB","journée · 8h-18h30 · Beaune",""),IF('Roulement V2'!J23="CB","journée · 8h-18h30 · Dijon",""),IF('Roulement V2'!I24="CB","J5 · 12h-20h · Beaune",""),IF('Roulement V2'!J24="CB","J5 · 12h-20h · Dijon",""),IF('Roulement V2'!I25="CB","préJ2/J6 · 8h-14h · Beaune",""),IF('Roulement V2'!J25="CB","préJ2/J6 · 8h-14h · Dijon",""),IF('Roulement V2'!I26="CB","journée · 8h-18h30 · Beaune",""),IF('Roulement V2'!J26="CB","journée · 8h-18h30 · Dijon",""),IF('Roulement V2'!I27="CB","journée · 8h-18h30 · Beaune",""),IF('Roulement V2'!J27="CB","journée · 8h-18h30 · Dijon",""))</f>
        <v>journée · 8h-18h30 · Dijon</v>
      </c>
      <c r="F7" t="str" s="2" cm="1">
        <f t="array" ref="F7">_xlfn.TEXTJOIN(" + ",TRUE,IF('Roulement V2'!K20="CB","J1 · 8h-16h · Beaune",""),IF('Roulement V2'!L20="CB","J1 · 8h-16h · Dijon",""),IF('Roulement V2'!K21="CB","J2 · 14h-22h · Beaune",""),IF('Roulement V2'!L21="CB","J2 · 14h-22h · Dijon",""),IF('Roulement V2'!K22="CB","journée · 8h-18h30 · Beaune",""),IF('Roulement V2'!L22="CB","journée · 8h-18h30 · Dijon",""),IF('Roulement V2'!K23="CB","journée · 8h-18h30 · Beaune",""),IF('Roulement V2'!L23="CB","journée · 8h-18h30 · Dijon",""),IF('Roulement V2'!K24="CB","J5 · 12h-20h · Beaune",""),IF('Roulement V2'!L24="CB","J5 · 12h-20h · Dijon",""),IF('Roulement V2'!K25="CB","préJ2/J6 · 8h-14h · Beaune",""),IF('Roulement V2'!L25="CB","préJ2/J6 · 8h-14h · Dijon",""),IF('Roulement V2'!K26="CB","journée · 8h-18h30 · Beaune",""),IF('Roulement V2'!L26="CB","journée · 8h-18h30 · Dijon",""),IF('Roulement V2'!K27="CB","journée · 8h-18h30 · Beaune",""),IF('Roulement V2'!L27="CB","journée · 8h-18h30 · Dijon",""))</f>
      </c>
      <c r="G7" t="str" s="2" cm="1">
        <f t="array" ref="G7">_xlfn.TEXTJOIN(" + ",TRUE,IF('Roulement V2'!M20="CB","J1 · 8h-16h · Beaune",""),IF('Roulement V2'!N20="CB","J1 · 8h-16h · Dijon",""),IF('Roulement V2'!M21="CB","J2 · 14h-22h · Beaune",""),IF('Roulement V2'!N21="CB","J2 · 14h-22h · Dijon",""),IF('Roulement V2'!M22="CB","journée · 8h-18h30 · Beaune",""),IF('Roulement V2'!N22="CB","journée · 8h-18h30 · Dijon",""),IF('Roulement V2'!M23="CB","journée · 8h-18h30 · Beaune",""),IF('Roulement V2'!N23="CB","journée · 8h-18h30 · Dijon",""),IF('Roulement V2'!M24="CB","J5 · 12h-20h · Beaune",""),IF('Roulement V2'!N24="CB","J5 · 12h-20h · Dijon",""),IF('Roulement V2'!M25="CB","préJ2/J6 · 8h-14h · Beaune",""),IF('Roulement V2'!N25="CB","préJ2/J6 · 8h-14h · Dijon",""),IF('Roulement V2'!M26="CB","journée · 8h-18h30 · Beaune",""),IF('Roulement V2'!N26="CB","journée · 8h-18h30 · Dijon",""),IF('Roulement V2'!M27="CB","journée · 8h-18h30 · Beaune",""),IF('Roulement V2'!N27="CB","journée · 8h-18h30 · Dijon",""))</f>
        <v>journée · 8h-18h30 · Dijon</v>
      </c>
      <c r="H7" t="str" s="2" cm="1">
        <f t="array" ref="H7">_xlfn.TEXTJOIN(" + ",TRUE,IF('Roulement V2'!O20="CB","J1 · 8h-16h · Beaune",""),IF('Roulement V2'!P20="CB","J1 · 8h-16h · Dijon",""),IF('Roulement V2'!O21="CB","J2 · 14h-22h · Beaune",""),IF('Roulement V2'!P21="CB","J2 · 14h-22h · Dijon",""),IF('Roulement V2'!O22="CB","journée · 8h-18h30 · Beaune",""),IF('Roulement V2'!P22="CB","journée · 8h-18h30 · Dijon",""),IF('Roulement V2'!O23="CB","journée · 8h-18h30 · Beaune",""),IF('Roulement V2'!P23="CB","journée · 8h-18h30 · Dijon",""),IF('Roulement V2'!O24="CB","J5 · 12h-20h · Beaune",""),IF('Roulement V2'!P24="CB","J5 · 12h-20h · Dijon",""),IF('Roulement V2'!O25="CB","préJ2/J6 · 8h-14h · Beaune",""),IF('Roulement V2'!P25="CB","préJ2/J6 · 8h-14h · Dijon",""),IF('Roulement V2'!O26="CB","journée · 8h-18h30 · Beaune",""),IF('Roulement V2'!P26="CB","journée · 8h-18h30 · Dijon",""),IF('Roulement V2'!O27="CB","journée · 8h-18h30 · Beaune",""),IF('Roulement V2'!P27="CB","journée · 8h-18h30 · Dijon",""))</f>
        <v>J2 · 14h-22h · Beaune</v>
      </c>
      <c r="I7" t="str" s="2" cm="1">
        <f t="array" ref="I7">_xlfn.TEXTJOIN(" + ",TRUE,IF('Roulement V2'!Q20="CB","J1 · 8h-16h · Beaune",""),IF('Roulement V2'!R20="CB","J1 · 8h-16h · Dijon",""),IF('Roulement V2'!Q21="CB","J2 · 14h-22h · Beaune",""),IF('Roulement V2'!R21="CB","J2 · 14h-22h · Dijon",""),IF('Roulement V2'!Q22="CB","journée · 8h-18h30 · Beaune",""),IF('Roulement V2'!R22="CB","journée · 8h-18h30 · Dijon",""),IF('Roulement V2'!Q23="CB","journée · 8h-18h30 · Beaune",""),IF('Roulement V2'!R23="CB","journée · 8h-18h30 · Dijon",""),IF('Roulement V2'!Q24="CB","J5 · 12h-20h · Beaune",""),IF('Roulement V2'!R24="CB","J5 · 12h-20h · Dijon",""),IF('Roulement V2'!Q25="CB","préJ2/J6 · 8h-14h · Beaune",""),IF('Roulement V2'!R25="CB","préJ2/J6 · 8h-14h · Dijon",""),IF('Roulement V2'!Q26="CB","journée · 8h-18h30 · Beaune",""),IF('Roulement V2'!R26="CB","journée · 8h-18h30 · Dijon",""),IF('Roulement V2'!Q27="CB","journée · 8h-18h30 · Beaune",""),IF('Roulement V2'!R27="CB","journée · 8h-18h30 · Dijon",""))</f>
      </c>
    </row>
    <row r="8" ht="13.55" customHeight="1">
      <c r="A8" t="s" s="30">
        <v>39</v>
      </c>
      <c r="B8" t="str" s="2" cm="1">
        <f t="array" ref="B8">_xlfn.TEXTJOIN(" + ",TRUE,IF('Roulement V2'!C28="CB","J1 · 8h-16h · Beaune",""),IF('Roulement V2'!D28="CB","J1 · 8h-16h · Dijon",""),IF('Roulement V2'!C29="CB","J2 · 14h-22h · Beaune",""),IF('Roulement V2'!D29="CB","J2 · 14h-22h · Dijon",""),IF('Roulement V2'!C30="CB","journée · 8h-18h30 · Beaune",""),IF('Roulement V2'!D30="CB","journée · 8h-18h30 · Dijon",""),IF('Roulement V2'!C31="CB","journée · 8h-18h30 · Beaune",""),IF('Roulement V2'!D31="CB","journée · 8h-18h30 · Dijon",""),IF('Roulement V2'!C32="CB","J5 · 12h-20h · Beaune",""),IF('Roulement V2'!D32="CB","J5 · 12h-20h · Dijon",""),IF('Roulement V2'!C33="CB","préJ2/J6 · 8h-14h · Beaune",""),IF('Roulement V2'!D33="CB","préJ2/J6 · 8h-14h · Dijon",""),IF('Roulement V2'!C34="CB","journée · 8h-18h30 · Beaune",""),IF('Roulement V2'!D34="CB","journée · 8h-18h30 · Dijon",""),IF('Roulement V2'!C35="CB","journée · 8h-18h30 · Beaune",""),IF('Roulement V2'!D35="CB","journée · 8h-18h30 · Dijon",""))</f>
        <v>journée · 8h-18h30 · Dijon</v>
      </c>
      <c r="C8" t="str" s="2" cm="1">
        <f t="array" ref="C8">_xlfn.TEXTJOIN(" + ",TRUE,IF('Roulement V2'!E28="CB","J1 · 8h-16h · Beaune",""),IF('Roulement V2'!F28="CB","J1 · 8h-16h · Dijon",""),IF('Roulement V2'!E29="CB","J2 · 14h-22h · Beaune",""),IF('Roulement V2'!F29="CB","J2 · 14h-22h · Dijon",""),IF('Roulement V2'!E30="CB","journée · 8h-18h30 · Beaune",""),IF('Roulement V2'!F30="CB","journée · 8h-18h30 · Dijon",""),IF('Roulement V2'!E31="CB","journée · 8h-18h30 · Beaune",""),IF('Roulement V2'!F31="CB","journée · 8h-18h30 · Dijon",""),IF('Roulement V2'!E32="CB","J5 · 12h-20h · Beaune",""),IF('Roulement V2'!F32="CB","J5 · 12h-20h · Dijon",""),IF('Roulement V2'!E33="CB","préJ2/J6 · 8h-14h · Beaune",""),IF('Roulement V2'!F33="CB","préJ2/J6 · 8h-14h · Dijon",""),IF('Roulement V2'!E34="CB","journée · 8h-18h30 · Beaune",""),IF('Roulement V2'!F34="CB","journée · 8h-18h30 · Dijon",""),IF('Roulement V2'!E35="CB","journée · 8h-18h30 · Beaune",""),IF('Roulement V2'!F35="CB","journée · 8h-18h30 · Dijon",""))</f>
        <v>J2 · 14h-22h · Beaune</v>
      </c>
      <c r="D8" t="str" s="2" cm="1">
        <f t="array" ref="D8">_xlfn.TEXTJOIN(" + ",TRUE,IF('Roulement V2'!G28="CB","J1 · 8h-16h · Beaune",""),IF('Roulement V2'!H28="CB","J1 · 8h-16h · Dijon",""),IF('Roulement V2'!G29="CB","J2 · 14h-22h · Beaune",""),IF('Roulement V2'!H29="CB","J2 · 14h-22h · Dijon",""),IF('Roulement V2'!G30="CB","journée · 8h-18h30 · Beaune",""),IF('Roulement V2'!H30="CB","journée · 8h-18h30 · Dijon",""),IF('Roulement V2'!G31="CB","journée · 8h-18h30 · Beaune",""),IF('Roulement V2'!H31="CB","journée · 8h-18h30 · Dijon",""),IF('Roulement V2'!G32="CB","J5 · 12h-20h · Beaune",""),IF('Roulement V2'!H32="CB","J5 · 12h-20h · Dijon",""),IF('Roulement V2'!G33="CB","préJ2/J6 · 8h-14h · Beaune",""),IF('Roulement V2'!H33="CB","préJ2/J6 · 8h-14h · Dijon",""),IF('Roulement V2'!G34="CB","journée · 8h-18h30 · Beaune",""),IF('Roulement V2'!H34="CB","journée · 8h-18h30 · Dijon",""),IF('Roulement V2'!G35="CB","journée · 8h-18h30 · Beaune",""),IF('Roulement V2'!H35="CB","journée · 8h-18h30 · Dijon",""))</f>
      </c>
      <c r="E8" t="str" s="2" cm="1">
        <f t="array" ref="E8">_xlfn.TEXTJOIN(" + ",TRUE,IF('Roulement V2'!I28="CB","J1 · 8h-16h · Beaune",""),IF('Roulement V2'!J28="CB","J1 · 8h-16h · Dijon",""),IF('Roulement V2'!I29="CB","J2 · 14h-22h · Beaune",""),IF('Roulement V2'!J29="CB","J2 · 14h-22h · Dijon",""),IF('Roulement V2'!I30="CB","journée · 8h-18h30 · Beaune",""),IF('Roulement V2'!J30="CB","journée · 8h-18h30 · Dijon",""),IF('Roulement V2'!I31="CB","journée · 8h-18h30 · Beaune",""),IF('Roulement V2'!J31="CB","journée · 8h-18h30 · Dijon",""),IF('Roulement V2'!I32="CB","J5 · 12h-20h · Beaune",""),IF('Roulement V2'!J32="CB","J5 · 12h-20h · Dijon",""),IF('Roulement V2'!I33="CB","préJ2/J6 · 8h-14h · Beaune",""),IF('Roulement V2'!J33="CB","préJ2/J6 · 8h-14h · Dijon",""),IF('Roulement V2'!I34="CB","journée · 8h-18h30 · Beaune",""),IF('Roulement V2'!J34="CB","journée · 8h-18h30 · Dijon",""),IF('Roulement V2'!I35="CB","journée · 8h-18h30 · Beaune",""),IF('Roulement V2'!J35="CB","journée · 8h-18h30 · Dijon",""))</f>
        <v>journée · 8h-18h30 · Dijon</v>
      </c>
      <c r="F8" t="str" s="2" cm="1">
        <f t="array" ref="F8">_xlfn.TEXTJOIN(" + ",TRUE,IF('Roulement V2'!K28="CB","J1 · 8h-16h · Beaune",""),IF('Roulement V2'!L28="CB","J1 · 8h-16h · Dijon",""),IF('Roulement V2'!K29="CB","J2 · 14h-22h · Beaune",""),IF('Roulement V2'!L29="CB","J2 · 14h-22h · Dijon",""),IF('Roulement V2'!K30="CB","journée · 8h-18h30 · Beaune",""),IF('Roulement V2'!L30="CB","journée · 8h-18h30 · Dijon",""),IF('Roulement V2'!K31="CB","journée · 8h-18h30 · Beaune",""),IF('Roulement V2'!L31="CB","journée · 8h-18h30 · Dijon",""),IF('Roulement V2'!K32="CB","J5 · 12h-20h · Beaune",""),IF('Roulement V2'!L32="CB","J5 · 12h-20h · Dijon",""),IF('Roulement V2'!K33="CB","préJ2/J6 · 8h-14h · Beaune",""),IF('Roulement V2'!L33="CB","préJ2/J6 · 8h-14h · Dijon",""),IF('Roulement V2'!K34="CB","journée · 8h-18h30 · Beaune",""),IF('Roulement V2'!L34="CB","journée · 8h-18h30 · Dijon",""),IF('Roulement V2'!K35="CB","journée · 8h-18h30 · Beaune",""),IF('Roulement V2'!L35="CB","journée · 8h-18h30 · Dijon",""))</f>
        <v>journée · 8h-18h30 · Dijon</v>
      </c>
      <c r="G8" t="str" s="2" cm="1">
        <f t="array" ref="G8">_xlfn.TEXTJOIN(" + ",TRUE,IF('Roulement V2'!M28="CB","J1 · 8h-16h · Beaune",""),IF('Roulement V2'!N28="CB","J1 · 8h-16h · Dijon",""),IF('Roulement V2'!M29="CB","J2 · 14h-22h · Beaune",""),IF('Roulement V2'!N29="CB","J2 · 14h-22h · Dijon",""),IF('Roulement V2'!M30="CB","journée · 8h-18h30 · Beaune",""),IF('Roulement V2'!N30="CB","journée · 8h-18h30 · Dijon",""),IF('Roulement V2'!M31="CB","journée · 8h-18h30 · Beaune",""),IF('Roulement V2'!N31="CB","journée · 8h-18h30 · Dijon",""),IF('Roulement V2'!M32="CB","J5 · 12h-20h · Beaune",""),IF('Roulement V2'!N32="CB","J5 · 12h-20h · Dijon",""),IF('Roulement V2'!M33="CB","préJ2/J6 · 8h-14h · Beaune",""),IF('Roulement V2'!N33="CB","préJ2/J6 · 8h-14h · Dijon",""),IF('Roulement V2'!M34="CB","journée · 8h-18h30 · Beaune",""),IF('Roulement V2'!N34="CB","journée · 8h-18h30 · Dijon",""),IF('Roulement V2'!M35="CB","journée · 8h-18h30 · Beaune",""),IF('Roulement V2'!N35="CB","journée · 8h-18h30 · Dijon",""))</f>
        <v>J2 · 14h-22h · Dijon</v>
      </c>
      <c r="H8" t="str" s="2" cm="1">
        <f t="array" ref="H8">_xlfn.TEXTJOIN(" + ",TRUE,IF('Roulement V2'!O28="CB","J1 · 8h-16h · Beaune",""),IF('Roulement V2'!P28="CB","J1 · 8h-16h · Dijon",""),IF('Roulement V2'!O29="CB","J2 · 14h-22h · Beaune",""),IF('Roulement V2'!P29="CB","J2 · 14h-22h · Dijon",""),IF('Roulement V2'!O30="CB","journée · 8h-18h30 · Beaune",""),IF('Roulement V2'!P30="CB","journée · 8h-18h30 · Dijon",""),IF('Roulement V2'!O31="CB","journée · 8h-18h30 · Beaune",""),IF('Roulement V2'!P31="CB","journée · 8h-18h30 · Dijon",""),IF('Roulement V2'!O32="CB","J5 · 12h-20h · Beaune",""),IF('Roulement V2'!P32="CB","J5 · 12h-20h · Dijon",""),IF('Roulement V2'!O33="CB","préJ2/J6 · 8h-14h · Beaune",""),IF('Roulement V2'!P33="CB","préJ2/J6 · 8h-14h · Dijon",""),IF('Roulement V2'!O34="CB","journée · 8h-18h30 · Beaune",""),IF('Roulement V2'!P34="CB","journée · 8h-18h30 · Dijon",""),IF('Roulement V2'!O35="CB","journée · 8h-18h30 · Beaune",""),IF('Roulement V2'!P35="CB","journée · 8h-18h30 · Dijon",""))</f>
      </c>
      <c r="I8" t="str" s="2" cm="1">
        <f t="array" ref="I8">_xlfn.TEXTJOIN(" + ",TRUE,IF('Roulement V2'!Q28="CB","J1 · 8h-16h · Beaune",""),IF('Roulement V2'!R28="CB","J1 · 8h-16h · Dijon",""),IF('Roulement V2'!Q29="CB","J2 · 14h-22h · Beaune",""),IF('Roulement V2'!R29="CB","J2 · 14h-22h · Dijon",""),IF('Roulement V2'!Q30="CB","journée · 8h-18h30 · Beaune",""),IF('Roulement V2'!R30="CB","journée · 8h-18h30 · Dijon",""),IF('Roulement V2'!Q31="CB","journée · 8h-18h30 · Beaune",""),IF('Roulement V2'!R31="CB","journée · 8h-18h30 · Dijon",""),IF('Roulement V2'!Q32="CB","J5 · 12h-20h · Beaune",""),IF('Roulement V2'!R32="CB","J5 · 12h-20h · Dijon",""),IF('Roulement V2'!Q33="CB","préJ2/J6 · 8h-14h · Beaune",""),IF('Roulement V2'!R33="CB","préJ2/J6 · 8h-14h · Dijon",""),IF('Roulement V2'!Q34="CB","journée · 8h-18h30 · Beaune",""),IF('Roulement V2'!R34="CB","journée · 8h-18h30 · Dijon",""),IF('Roulement V2'!Q35="CB","journée · 8h-18h30 · Beaune",""),IF('Roulement V2'!R35="CB","journée · 8h-18h30 · Dijon",""))</f>
        <v>journée · 8h-18h30 · Dijon</v>
      </c>
    </row>
    <row r="9" ht="13.55" customHeight="1">
      <c r="A9" t="s" s="30">
        <v>40</v>
      </c>
      <c r="B9" t="str" s="2" cm="1">
        <f t="array" ref="B9">_xlfn.TEXTJOIN(" + ",TRUE,IF('Roulement V2'!C36="CB","J1 · 8h-16h · Beaune",""),IF('Roulement V2'!D36="CB","J1 · 8h-16h · Dijon",""),IF('Roulement V2'!C37="CB","J2 · 14h-22h · Beaune",""),IF('Roulement V2'!D37="CB","J2 · 14h-22h · Dijon",""),IF('Roulement V2'!C38="CB","journée · 8h-18h30 · Beaune",""),IF('Roulement V2'!D38="CB","journée · 8h-18h30 · Dijon",""),IF('Roulement V2'!C39="CB","journée · 8h-18h30 · Beaune",""),IF('Roulement V2'!D39="CB","journée · 8h-18h30 · Dijon",""),IF('Roulement V2'!C40="CB","J5 · 12h-20h · Beaune",""),IF('Roulement V2'!D40="CB","J5 · 12h-20h · Dijon",""),IF('Roulement V2'!C41="CB","préJ2/J6 · 8h-14h · Beaune",""),IF('Roulement V2'!D41="CB","préJ2/J6 · 8h-14h · Dijon",""),IF('Roulement V2'!C42="CB","journée · 8h-18h30 · Beaune",""),IF('Roulement V2'!D42="CB","journée · 8h-18h30 · Dijon",""),IF('Roulement V2'!C43="CB","journée · 8h-18h30 · Beaune",""),IF('Roulement V2'!D43="CB","journée · 8h-18h30 · Dijon",""))</f>
      </c>
      <c r="C9" t="str" s="2" cm="1">
        <f t="array" ref="C9">_xlfn.TEXTJOIN(" + ",TRUE,IF('Roulement V2'!E36="CB","J1 · 8h-16h · Beaune",""),IF('Roulement V2'!F36="CB","J1 · 8h-16h · Dijon",""),IF('Roulement V2'!E37="CB","J2 · 14h-22h · Beaune",""),IF('Roulement V2'!F37="CB","J2 · 14h-22h · Dijon",""),IF('Roulement V2'!E38="CB","journée · 8h-18h30 · Beaune",""),IF('Roulement V2'!F38="CB","journée · 8h-18h30 · Dijon",""),IF('Roulement V2'!E39="CB","journée · 8h-18h30 · Beaune",""),IF('Roulement V2'!F39="CB","journée · 8h-18h30 · Dijon",""),IF('Roulement V2'!E40="CB","J5 · 12h-20h · Beaune",""),IF('Roulement V2'!F40="CB","J5 · 12h-20h · Dijon",""),IF('Roulement V2'!E41="CB","préJ2/J6 · 8h-14h · Beaune",""),IF('Roulement V2'!F41="CB","préJ2/J6 · 8h-14h · Dijon",""),IF('Roulement V2'!E42="CB","journée · 8h-18h30 · Beaune",""),IF('Roulement V2'!F42="CB","journée · 8h-18h30 · Dijon",""),IF('Roulement V2'!E43="CB","journée · 8h-18h30 · Beaune",""),IF('Roulement V2'!F43="CB","journée · 8h-18h30 · Dijon",""))</f>
      </c>
      <c r="D9" t="str" s="2" cm="1">
        <f t="array" ref="D9">_xlfn.TEXTJOIN(" + ",TRUE,IF('Roulement V2'!G36="CB","J1 · 8h-16h · Beaune",""),IF('Roulement V2'!H36="CB","J1 · 8h-16h · Dijon",""),IF('Roulement V2'!G37="CB","J2 · 14h-22h · Beaune",""),IF('Roulement V2'!H37="CB","J2 · 14h-22h · Dijon",""),IF('Roulement V2'!G38="CB","journée · 8h-18h30 · Beaune",""),IF('Roulement V2'!H38="CB","journée · 8h-18h30 · Dijon",""),IF('Roulement V2'!G39="CB","journée · 8h-18h30 · Beaune",""),IF('Roulement V2'!H39="CB","journée · 8h-18h30 · Dijon",""),IF('Roulement V2'!G40="CB","J5 · 12h-20h · Beaune",""),IF('Roulement V2'!H40="CB","J5 · 12h-20h · Dijon",""),IF('Roulement V2'!G41="CB","préJ2/J6 · 8h-14h · Beaune",""),IF('Roulement V2'!H41="CB","préJ2/J6 · 8h-14h · Dijon",""),IF('Roulement V2'!G42="CB","journée · 8h-18h30 · Beaune",""),IF('Roulement V2'!H42="CB","journée · 8h-18h30 · Dijon",""),IF('Roulement V2'!G43="CB","journée · 8h-18h30 · Beaune",""),IF('Roulement V2'!H43="CB","journée · 8h-18h30 · Dijon",""))</f>
      </c>
      <c r="E9" t="str" s="2" cm="1">
        <f t="array" ref="E9">_xlfn.TEXTJOIN(" + ",TRUE,IF('Roulement V2'!I36="CB","J1 · 8h-16h · Beaune",""),IF('Roulement V2'!J36="CB","J1 · 8h-16h · Dijon",""),IF('Roulement V2'!I37="CB","J2 · 14h-22h · Beaune",""),IF('Roulement V2'!J37="CB","J2 · 14h-22h · Dijon",""),IF('Roulement V2'!I38="CB","journée · 8h-18h30 · Beaune",""),IF('Roulement V2'!J38="CB","journée · 8h-18h30 · Dijon",""),IF('Roulement V2'!I39="CB","journée · 8h-18h30 · Beaune",""),IF('Roulement V2'!J39="CB","journée · 8h-18h30 · Dijon",""),IF('Roulement V2'!I40="CB","J5 · 12h-20h · Beaune",""),IF('Roulement V2'!J40="CB","J5 · 12h-20h · Dijon",""),IF('Roulement V2'!I41="CB","préJ2/J6 · 8h-14h · Beaune",""),IF('Roulement V2'!J41="CB","préJ2/J6 · 8h-14h · Dijon",""),IF('Roulement V2'!I42="CB","journée · 8h-18h30 · Beaune",""),IF('Roulement V2'!J42="CB","journée · 8h-18h30 · Dijon",""),IF('Roulement V2'!I43="CB","journée · 8h-18h30 · Beaune",""),IF('Roulement V2'!J43="CB","journée · 8h-18h30 · Dijon",""))</f>
        <v>J2 · 14h-22h · Dijon</v>
      </c>
      <c r="F9" t="str" s="2" cm="1">
        <f t="array" ref="F9">_xlfn.TEXTJOIN(" + ",TRUE,IF('Roulement V2'!K36="CB","J1 · 8h-16h · Beaune",""),IF('Roulement V2'!L36="CB","J1 · 8h-16h · Dijon",""),IF('Roulement V2'!K37="CB","J2 · 14h-22h · Beaune",""),IF('Roulement V2'!L37="CB","J2 · 14h-22h · Dijon",""),IF('Roulement V2'!K38="CB","journée · 8h-18h30 · Beaune",""),IF('Roulement V2'!L38="CB","journée · 8h-18h30 · Dijon",""),IF('Roulement V2'!K39="CB","journée · 8h-18h30 · Beaune",""),IF('Roulement V2'!L39="CB","journée · 8h-18h30 · Dijon",""),IF('Roulement V2'!K40="CB","J5 · 12h-20h · Beaune",""),IF('Roulement V2'!L40="CB","J5 · 12h-20h · Dijon",""),IF('Roulement V2'!K41="CB","préJ2/J6 · 8h-14h · Beaune",""),IF('Roulement V2'!L41="CB","préJ2/J6 · 8h-14h · Dijon",""),IF('Roulement V2'!K42="CB","journée · 8h-18h30 · Beaune",""),IF('Roulement V2'!L42="CB","journée · 8h-18h30 · Dijon",""),IF('Roulement V2'!K43="CB","journée · 8h-18h30 · Beaune",""),IF('Roulement V2'!L43="CB","journée · 8h-18h30 · Dijon",""))</f>
      </c>
      <c r="G9" t="str" s="2" cm="1">
        <f t="array" ref="G9">_xlfn.TEXTJOIN(" + ",TRUE,IF('Roulement V2'!M36="CB","J1 · 8h-16h · Beaune",""),IF('Roulement V2'!N36="CB","J1 · 8h-16h · Dijon",""),IF('Roulement V2'!M37="CB","J2 · 14h-22h · Beaune",""),IF('Roulement V2'!N37="CB","J2 · 14h-22h · Dijon",""),IF('Roulement V2'!M38="CB","journée · 8h-18h30 · Beaune",""),IF('Roulement V2'!N38="CB","journée · 8h-18h30 · Dijon",""),IF('Roulement V2'!M39="CB","journée · 8h-18h30 · Beaune",""),IF('Roulement V2'!N39="CB","journée · 8h-18h30 · Dijon",""),IF('Roulement V2'!M40="CB","J5 · 12h-20h · Beaune",""),IF('Roulement V2'!N40="CB","J5 · 12h-20h · Dijon",""),IF('Roulement V2'!M41="CB","préJ2/J6 · 8h-14h · Beaune",""),IF('Roulement V2'!N41="CB","préJ2/J6 · 8h-14h · Dijon",""),IF('Roulement V2'!M42="CB","journée · 8h-18h30 · Beaune",""),IF('Roulement V2'!N42="CB","journée · 8h-18h30 · Dijon",""),IF('Roulement V2'!M43="CB","journée · 8h-18h30 · Beaune",""),IF('Roulement V2'!N43="CB","journée · 8h-18h30 · Dijon",""))</f>
      </c>
      <c r="H9" t="str" s="2" cm="1">
        <f t="array" ref="H9">_xlfn.TEXTJOIN(" + ",TRUE,IF('Roulement V2'!O36="CB","J1 · 8h-16h · Beaune",""),IF('Roulement V2'!P36="CB","J1 · 8h-16h · Dijon",""),IF('Roulement V2'!O37="CB","J2 · 14h-22h · Beaune",""),IF('Roulement V2'!P37="CB","J2 · 14h-22h · Dijon",""),IF('Roulement V2'!O38="CB","journée · 8h-18h30 · Beaune",""),IF('Roulement V2'!P38="CB","journée · 8h-18h30 · Dijon",""),IF('Roulement V2'!O39="CB","journée · 8h-18h30 · Beaune",""),IF('Roulement V2'!P39="CB","journée · 8h-18h30 · Dijon",""),IF('Roulement V2'!O40="CB","J5 · 12h-20h · Beaune",""),IF('Roulement V2'!P40="CB","J5 · 12h-20h · Dijon",""),IF('Roulement V2'!O41="CB","préJ2/J6 · 8h-14h · Beaune",""),IF('Roulement V2'!P41="CB","préJ2/J6 · 8h-14h · Dijon",""),IF('Roulement V2'!O42="CB","journée · 8h-18h30 · Beaune",""),IF('Roulement V2'!P42="CB","journée · 8h-18h30 · Dijon",""),IF('Roulement V2'!O43="CB","journée · 8h-18h30 · Beaune",""),IF('Roulement V2'!P43="CB","journée · 8h-18h30 · Dijon",""))</f>
      </c>
      <c r="I9" t="str" s="2" cm="1">
        <f t="array" ref="I9">_xlfn.TEXTJOIN(" + ",TRUE,IF('Roulement V2'!Q36="CB","J1 · 8h-16h · Beaune",""),IF('Roulement V2'!R36="CB","J1 · 8h-16h · Dijon",""),IF('Roulement V2'!Q37="CB","J2 · 14h-22h · Beaune",""),IF('Roulement V2'!R37="CB","J2 · 14h-22h · Dijon",""),IF('Roulement V2'!Q38="CB","journée · 8h-18h30 · Beaune",""),IF('Roulement V2'!R38="CB","journée · 8h-18h30 · Dijon",""),IF('Roulement V2'!Q39="CB","journée · 8h-18h30 · Beaune",""),IF('Roulement V2'!R39="CB","journée · 8h-18h30 · Dijon",""),IF('Roulement V2'!Q40="CB","J5 · 12h-20h · Beaune",""),IF('Roulement V2'!R40="CB","J5 · 12h-20h · Dijon",""),IF('Roulement V2'!Q41="CB","préJ2/J6 · 8h-14h · Beaune",""),IF('Roulement V2'!R41="CB","préJ2/J6 · 8h-14h · Dijon",""),IF('Roulement V2'!Q42="CB","journée · 8h-18h30 · Beaune",""),IF('Roulement V2'!R42="CB","journée · 8h-18h30 · Dijon",""),IF('Roulement V2'!Q43="CB","journée · 8h-18h30 · Beaune",""),IF('Roulement V2'!R43="CB","journée · 8h-18h30 · Dijon",""))</f>
        <v>journée · 8h-18h30 · Dijon</v>
      </c>
    </row>
    <row r="10" ht="13.55" customHeight="1">
      <c r="A10" t="s" s="30">
        <v>41</v>
      </c>
      <c r="B10" t="str" s="2" cm="1">
        <f t="array" ref="B10">_xlfn.TEXTJOIN(" + ",TRUE,IF('Roulement V2'!C44="CB","Garde · Beaune",""),IF('Roulement V2'!D44="CB","Garde · Dijon",""),IF('Roulement V2'!C45="CB","Doublon · Beaune",""),IF('Roulement V2'!D45="CB","Doublon · Dijon",""))</f>
        <v>Garde · Beaune</v>
      </c>
      <c r="C10" t="str" s="2" cm="1">
        <f t="array" ref="C10">_xlfn.TEXTJOIN(" + ",TRUE,IF('Roulement V2'!E44="CB","Garde · Beaune",""),IF('Roulement V2'!F44="CB","Garde · Dijon",""),IF('Roulement V2'!E45="CB","Doublon · Beaune",""),IF('Roulement V2'!F45="CB","Doublon · Dijon",""))</f>
      </c>
      <c r="D10" t="str" s="2" cm="1">
        <f t="array" ref="D10">_xlfn.TEXTJOIN(" + ",TRUE,IF('Roulement V2'!G44="CB","Garde · Beaune",""),IF('Roulement V2'!H44="CB","Garde · Dijon",""),IF('Roulement V2'!G45="CB","Doublon · Beaune",""),IF('Roulement V2'!H45="CB","Doublon · Dijon",""))</f>
      </c>
      <c r="E10" t="str" s="2" cm="1">
        <f t="array" ref="E10">_xlfn.TEXTJOIN(" + ",TRUE,IF('Roulement V2'!I44="CB","Garde · Beaune",""),IF('Roulement V2'!J44="CB","Garde · Dijon",""),IF('Roulement V2'!I45="CB","Doublon · Beaune",""),IF('Roulement V2'!J45="CB","Doublon · Dijon",""))</f>
      </c>
      <c r="F10" t="str" s="2" cm="1">
        <f t="array" ref="F10">_xlfn.TEXTJOIN(" + ",TRUE,IF('Roulement V2'!K44="CB","Garde · Beaune",""),IF('Roulement V2'!L44="CB","Garde · Dijon",""),IF('Roulement V2'!K45="CB","Doublon · Beaune",""),IF('Roulement V2'!L45="CB","Doublon · Dijon",""))</f>
        <v>Garde · Dijon</v>
      </c>
      <c r="G10" t="str" s="2" cm="1">
        <f t="array" ref="G10">_xlfn.TEXTJOIN(" + ",TRUE,IF('Roulement V2'!M44="CB","Garde · Beaune",""),IF('Roulement V2'!N44="CB","Garde · Dijon",""),IF('Roulement V2'!M45="CB","Doublon · Beaune",""),IF('Roulement V2'!N45="CB","Doublon · Dijon",""))</f>
      </c>
      <c r="H10" t="str" s="2" cm="1">
        <f t="array" ref="H10">_xlfn.TEXTJOIN(" + ",TRUE,IF('Roulement V2'!O44="CB","Garde · Beaune",""),IF('Roulement V2'!P44="CB","Garde · Dijon",""),IF('Roulement V2'!O45="CB","Doublon · Beaune",""),IF('Roulement V2'!P45="CB","Doublon · Dijon",""))</f>
      </c>
      <c r="I10" t="str" s="2" cm="1">
        <f t="array" ref="I10">_xlfn.TEXTJOIN(" + ",TRUE,IF('Roulement V2'!Q44="CB","Garde · Beaune",""),IF('Roulement V2'!R44="CB","Garde · Dijon",""),IF('Roulement V2'!Q45="CB","Doublon · Beaune",""),IF('Roulement V2'!R45="CB","Doublon · Dijon",""))</f>
      </c>
    </row>
    <row r="11" ht="13.55" customHeight="1">
      <c r="A11" t="s" s="30">
        <v>44</v>
      </c>
      <c r="B11" t="str" s="2" cm="1">
        <f t="array" ref="B11">_xlfn.TEXTJOIN(" + ",TRUE,IF('Roulement V2'!C46="CB","Garde · Beaune",""),IF('Roulement V2'!D46="CB","Garde · Dijon",""),IF('Roulement V2'!C47="CB","Doublon · Beaune",""),IF('Roulement V2'!D47="CB","Doublon · Dijon",""))</f>
        <v>Garde · Beaune</v>
      </c>
      <c r="C11" t="str" s="2" cm="1">
        <f t="array" ref="C11">_xlfn.TEXTJOIN(" + ",TRUE,IF('Roulement V2'!E46="CB","Garde · Beaune",""),IF('Roulement V2'!F46="CB","Garde · Dijon",""),IF('Roulement V2'!E47="CB","Doublon · Beaune",""),IF('Roulement V2'!F47="CB","Doublon · Dijon",""))</f>
      </c>
      <c r="D11" t="str" s="2" cm="1">
        <f t="array" ref="D11">_xlfn.TEXTJOIN(" + ",TRUE,IF('Roulement V2'!G46="CB","Garde · Beaune",""),IF('Roulement V2'!H46="CB","Garde · Dijon",""),IF('Roulement V2'!G47="CB","Doublon · Beaune",""),IF('Roulement V2'!H47="CB","Doublon · Dijon",""))</f>
      </c>
      <c r="E11" t="str" s="2" cm="1">
        <f t="array" ref="E11">_xlfn.TEXTJOIN(" + ",TRUE,IF('Roulement V2'!I46="CB","Garde · Beaune",""),IF('Roulement V2'!J46="CB","Garde · Dijon",""),IF('Roulement V2'!I47="CB","Doublon · Beaune",""),IF('Roulement V2'!J47="CB","Doublon · Dijon",""))</f>
      </c>
      <c r="F11" t="str" s="2" cm="1">
        <f t="array" ref="F11">_xlfn.TEXTJOIN(" + ",TRUE,IF('Roulement V2'!K46="CB","Garde · Beaune",""),IF('Roulement V2'!L46="CB","Garde · Dijon",""),IF('Roulement V2'!K47="CB","Doublon · Beaune",""),IF('Roulement V2'!L47="CB","Doublon · Dijon",""))</f>
        <v>Garde · Dijon</v>
      </c>
      <c r="G11" t="str" s="2" cm="1">
        <f t="array" ref="G11">_xlfn.TEXTJOIN(" + ",TRUE,IF('Roulement V2'!M46="CB","Garde · Beaune",""),IF('Roulement V2'!N46="CB","Garde · Dijon",""),IF('Roulement V2'!M47="CB","Doublon · Beaune",""),IF('Roulement V2'!N47="CB","Doublon · Dijon",""))</f>
      </c>
      <c r="H11" t="str" s="2" cm="1">
        <f t="array" ref="H11">_xlfn.TEXTJOIN(" + ",TRUE,IF('Roulement V2'!O46="CB","Garde · Beaune",""),IF('Roulement V2'!P46="CB","Garde · Dijon",""),IF('Roulement V2'!O47="CB","Doublon · Beaune",""),IF('Roulement V2'!P47="CB","Doublon · Dijon",""))</f>
      </c>
      <c r="I11" t="str" s="2" cm="1">
        <f t="array" ref="I11">_xlfn.TEXTJOIN(" + ",TRUE,IF('Roulement V2'!Q46="CB","Garde · Beaune",""),IF('Roulement V2'!R46="CB","Garde · Dijon",""),IF('Roulement V2'!Q47="CB","Doublon · Beaune",""),IF('Roulement V2'!R47="CB","Doublon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3</v>
      </c>
      <c r="C15" s="2"/>
      <c r="D15" t="s" s="30">
        <v>64</v>
      </c>
      <c r="E15" s="31" cm="1">
        <f t="array" ref="E15">COUNTIF(B5:I9,"*Beaune*")</f>
        <v>7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7</v>
      </c>
      <c r="C16" s="2"/>
      <c r="D16" t="s" s="30">
        <v>66</v>
      </c>
      <c r="E16" s="31" cm="1">
        <f t="array" ref="E16">COUNTIF(B5:I9,"*Dijon*")</f>
        <v>18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15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25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0" customWidth="1"/>
    <col min="2" max="9" width="18" style="40" customWidth="1"/>
    <col min="10" max="16384" width="6.67188" style="40" customWidth="1"/>
  </cols>
  <sheetData>
    <row r="1" ht="15.35" customHeight="1">
      <c r="A1" t="s" s="21">
        <v>76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V2'!C4="IEG","J1 · 8h-16h · Beaune",""),IF('Roulement V2'!D4="IEG","J1 · 8h-16h · Dijon",""),IF('Roulement V2'!C5="IEG","J2 · 14h-22h · Beaune",""),IF('Roulement V2'!D5="IEG","J2 · 14h-22h · Dijon",""),IF('Roulement V2'!C6="IEG","journée · 8h-18h30 · Beaune",""),IF('Roulement V2'!D6="IEG","journée · 8h-18h30 · Dijon",""),IF('Roulement V2'!C7="IEG","journée · 8h-18h30 · Beaune",""),IF('Roulement V2'!D7="IEG","journée · 8h-18h30 · Dijon",""),IF('Roulement V2'!C8="IEG","J5 · 12h-20h · Beaune",""),IF('Roulement V2'!D8="IEG","J5 · 12h-20h · Dijon",""),IF('Roulement V2'!C9="IEG","préJ2/J6 · 8h-14h · Beaune",""),IF('Roulement V2'!D9="IEG","préJ2/J6 · 8h-14h · Dijon",""),IF('Roulement V2'!C10="IEG","journée · 8h-18h30 · Beaune",""),IF('Roulement V2'!D10="IEG","journée · 8h-18h30 · Dijon",""),IF('Roulement V2'!C11="IEG","journée · 8h-18h30 · Beaune",""),IF('Roulement V2'!D11="IEG","journée · 8h-18h30 · Dijon",""))</f>
      </c>
      <c r="C5" t="str" s="2" cm="1">
        <f t="array" ref="C5">_xlfn.TEXTJOIN(" + ",TRUE,IF('Roulement V2'!E4="IEG","J1 · 8h-16h · Beaune",""),IF('Roulement V2'!F4="IEG","J1 · 8h-16h · Dijon",""),IF('Roulement V2'!E5="IEG","J2 · 14h-22h · Beaune",""),IF('Roulement V2'!F5="IEG","J2 · 14h-22h · Dijon",""),IF('Roulement V2'!E6="IEG","journée · 8h-18h30 · Beaune",""),IF('Roulement V2'!F6="IEG","journée · 8h-18h30 · Dijon",""),IF('Roulement V2'!E7="IEG","journée · 8h-18h30 · Beaune",""),IF('Roulement V2'!F7="IEG","journée · 8h-18h30 · Dijon",""),IF('Roulement V2'!E8="IEG","J5 · 12h-20h · Beaune",""),IF('Roulement V2'!F8="IEG","J5 · 12h-20h · Dijon",""),IF('Roulement V2'!E9="IEG","préJ2/J6 · 8h-14h · Beaune",""),IF('Roulement V2'!F9="IEG","préJ2/J6 · 8h-14h · Dijon",""),IF('Roulement V2'!E10="IEG","journée · 8h-18h30 · Beaune",""),IF('Roulement V2'!F10="IEG","journée · 8h-18h30 · Dijon",""),IF('Roulement V2'!E11="IEG","journée · 8h-18h30 · Beaune",""),IF('Roulement V2'!F11="IEG","journée · 8h-18h30 · Dijon",""))</f>
        <v>J2 · 14h-22h · Beaune</v>
      </c>
      <c r="D5" t="str" s="2" cm="1">
        <f t="array" ref="D5">_xlfn.TEXTJOIN(" + ",TRUE,IF('Roulement V2'!G4="IEG","J1 · 8h-16h · Beaune",""),IF('Roulement V2'!H4="IEG","J1 · 8h-16h · Dijon",""),IF('Roulement V2'!G5="IEG","J2 · 14h-22h · Beaune",""),IF('Roulement V2'!H5="IEG","J2 · 14h-22h · Dijon",""),IF('Roulement V2'!G6="IEG","journée · 8h-18h30 · Beaune",""),IF('Roulement V2'!H6="IEG","journée · 8h-18h30 · Dijon",""),IF('Roulement V2'!G7="IEG","journée · 8h-18h30 · Beaune",""),IF('Roulement V2'!H7="IEG","journée · 8h-18h30 · Dijon",""),IF('Roulement V2'!G8="IEG","J5 · 12h-20h · Beaune",""),IF('Roulement V2'!H8="IEG","J5 · 12h-20h · Dijon",""),IF('Roulement V2'!G9="IEG","préJ2/J6 · 8h-14h · Beaune",""),IF('Roulement V2'!H9="IEG","préJ2/J6 · 8h-14h · Dijon",""),IF('Roulement V2'!G10="IEG","journée · 8h-18h30 · Beaune",""),IF('Roulement V2'!H10="IEG","journée · 8h-18h30 · Dijon",""),IF('Roulement V2'!G11="IEG","journée · 8h-18h30 · Beaune",""),IF('Roulement V2'!H11="IEG","journée · 8h-18h30 · Dijon",""))</f>
        <v>J2 · 14h-22h · Beaune</v>
      </c>
      <c r="E5" t="str" s="2" cm="1">
        <f t="array" ref="E5">_xlfn.TEXTJOIN(" + ",TRUE,IF('Roulement V2'!I4="IEG","J1 · 8h-16h · Beaune",""),IF('Roulement V2'!J4="IEG","J1 · 8h-16h · Dijon",""),IF('Roulement V2'!I5="IEG","J2 · 14h-22h · Beaune",""),IF('Roulement V2'!J5="IEG","J2 · 14h-22h · Dijon",""),IF('Roulement V2'!I6="IEG","journée · 8h-18h30 · Beaune",""),IF('Roulement V2'!J6="IEG","journée · 8h-18h30 · Dijon",""),IF('Roulement V2'!I7="IEG","journée · 8h-18h30 · Beaune",""),IF('Roulement V2'!J7="IEG","journée · 8h-18h30 · Dijon",""),IF('Roulement V2'!I8="IEG","J5 · 12h-20h · Beaune",""),IF('Roulement V2'!J8="IEG","J5 · 12h-20h · Dijon",""),IF('Roulement V2'!I9="IEG","préJ2/J6 · 8h-14h · Beaune",""),IF('Roulement V2'!J9="IEG","préJ2/J6 · 8h-14h · Dijon",""),IF('Roulement V2'!I10="IEG","journée · 8h-18h30 · Beaune",""),IF('Roulement V2'!J10="IEG","journée · 8h-18h30 · Dijon",""),IF('Roulement V2'!I11="IEG","journée · 8h-18h30 · Beaune",""),IF('Roulement V2'!J11="IEG","journée · 8h-18h30 · Dijon",""))</f>
        <v>journée · 8h-18h30 · Beaune</v>
      </c>
      <c r="F5" t="str" s="2" cm="1">
        <f t="array" ref="F5">_xlfn.TEXTJOIN(" + ",TRUE,IF('Roulement V2'!K4="IEG","J1 · 8h-16h · Beaune",""),IF('Roulement V2'!L4="IEG","J1 · 8h-16h · Dijon",""),IF('Roulement V2'!K5="IEG","J2 · 14h-22h · Beaune",""),IF('Roulement V2'!L5="IEG","J2 · 14h-22h · Dijon",""),IF('Roulement V2'!K6="IEG","journée · 8h-18h30 · Beaune",""),IF('Roulement V2'!L6="IEG","journée · 8h-18h30 · Dijon",""),IF('Roulement V2'!K7="IEG","journée · 8h-18h30 · Beaune",""),IF('Roulement V2'!L7="IEG","journée · 8h-18h30 · Dijon",""),IF('Roulement V2'!K8="IEG","J5 · 12h-20h · Beaune",""),IF('Roulement V2'!L8="IEG","J5 · 12h-20h · Dijon",""),IF('Roulement V2'!K9="IEG","préJ2/J6 · 8h-14h · Beaune",""),IF('Roulement V2'!L9="IEG","préJ2/J6 · 8h-14h · Dijon",""),IF('Roulement V2'!K10="IEG","journée · 8h-18h30 · Beaune",""),IF('Roulement V2'!L10="IEG","journée · 8h-18h30 · Dijon",""),IF('Roulement V2'!K11="IEG","journée · 8h-18h30 · Beaune",""),IF('Roulement V2'!L11="IEG","journée · 8h-18h30 · Dijon",""))</f>
      </c>
      <c r="G5" t="str" s="2" cm="1">
        <f t="array" ref="G5">_xlfn.TEXTJOIN(" + ",TRUE,IF('Roulement V2'!M4="IEG","J1 · 8h-16h · Beaune",""),IF('Roulement V2'!N4="IEG","J1 · 8h-16h · Dijon",""),IF('Roulement V2'!M5="IEG","J2 · 14h-22h · Beaune",""),IF('Roulement V2'!N5="IEG","J2 · 14h-22h · Dijon",""),IF('Roulement V2'!M6="IEG","journée · 8h-18h30 · Beaune",""),IF('Roulement V2'!N6="IEG","journée · 8h-18h30 · Dijon",""),IF('Roulement V2'!M7="IEG","journée · 8h-18h30 · Beaune",""),IF('Roulement V2'!N7="IEG","journée · 8h-18h30 · Dijon",""),IF('Roulement V2'!M8="IEG","J5 · 12h-20h · Beaune",""),IF('Roulement V2'!N8="IEG","J5 · 12h-20h · Dijon",""),IF('Roulement V2'!M9="IEG","préJ2/J6 · 8h-14h · Beaune",""),IF('Roulement V2'!N9="IEG","préJ2/J6 · 8h-14h · Dijon",""),IF('Roulement V2'!M10="IEG","journée · 8h-18h30 · Beaune",""),IF('Roulement V2'!N10="IEG","journée · 8h-18h30 · Dijon",""),IF('Roulement V2'!M11="IEG","journée · 8h-18h30 · Beaune",""),IF('Roulement V2'!N11="IEG","journée · 8h-18h30 · Dijon",""))</f>
      </c>
      <c r="H5" t="str" s="2" cm="1">
        <f t="array" ref="H5">_xlfn.TEXTJOIN(" + ",TRUE,IF('Roulement V2'!O4="IEG","J1 · 8h-16h · Beaune",""),IF('Roulement V2'!P4="IEG","J1 · 8h-16h · Dijon",""),IF('Roulement V2'!O5="IEG","J2 · 14h-22h · Beaune",""),IF('Roulement V2'!P5="IEG","J2 · 14h-22h · Dijon",""),IF('Roulement V2'!O6="IEG","journée · 8h-18h30 · Beaune",""),IF('Roulement V2'!P6="IEG","journée · 8h-18h30 · Dijon",""),IF('Roulement V2'!O7="IEG","journée · 8h-18h30 · Beaune",""),IF('Roulement V2'!P7="IEG","journée · 8h-18h30 · Dijon",""),IF('Roulement V2'!O8="IEG","J5 · 12h-20h · Beaune",""),IF('Roulement V2'!P8="IEG","J5 · 12h-20h · Dijon",""),IF('Roulement V2'!O9="IEG","préJ2/J6 · 8h-14h · Beaune",""),IF('Roulement V2'!P9="IEG","préJ2/J6 · 8h-14h · Dijon",""),IF('Roulement V2'!O10="IEG","journée · 8h-18h30 · Beaune",""),IF('Roulement V2'!P10="IEG","journée · 8h-18h30 · Dijon",""),IF('Roulement V2'!O11="IEG","journée · 8h-18h30 · Beaune",""),IF('Roulement V2'!P11="IEG","journée · 8h-18h30 · Dijon",""))</f>
      </c>
      <c r="I5" t="str" s="2" cm="1">
        <f t="array" ref="I5">_xlfn.TEXTJOIN(" + ",TRUE,IF('Roulement V2'!Q4="IEG","J1 · 8h-16h · Beaune",""),IF('Roulement V2'!R4="IEG","J1 · 8h-16h · Dijon",""),IF('Roulement V2'!Q5="IEG","J2 · 14h-22h · Beaune",""),IF('Roulement V2'!R5="IEG","J2 · 14h-22h · Dijon",""),IF('Roulement V2'!Q6="IEG","journée · 8h-18h30 · Beaune",""),IF('Roulement V2'!R6="IEG","journée · 8h-18h30 · Dijon",""),IF('Roulement V2'!Q7="IEG","journée · 8h-18h30 · Beaune",""),IF('Roulement V2'!R7="IEG","journée · 8h-18h30 · Dijon",""),IF('Roulement V2'!Q8="IEG","J5 · 12h-20h · Beaune",""),IF('Roulement V2'!R8="IEG","J5 · 12h-20h · Dijon",""),IF('Roulement V2'!Q9="IEG","préJ2/J6 · 8h-14h · Beaune",""),IF('Roulement V2'!R9="IEG","préJ2/J6 · 8h-14h · Dijon",""),IF('Roulement V2'!Q10="IEG","journée · 8h-18h30 · Beaune",""),IF('Roulement V2'!R10="IEG","journée · 8h-18h30 · Dijon",""),IF('Roulement V2'!Q11="IEG","journée · 8h-18h30 · Beaune",""),IF('Roulement V2'!R11="IEG","journée · 8h-18h30 · Dijon",""))</f>
        <v>J2 · 14h-22h · Beaune</v>
      </c>
    </row>
    <row r="6" ht="13.55" customHeight="1">
      <c r="A6" t="s" s="30">
        <v>37</v>
      </c>
      <c r="B6" t="str" s="2" cm="1">
        <f t="array" ref="B6">_xlfn.TEXTJOIN(" + ",TRUE,IF('Roulement V2'!C12="IEG","J1 · 8h-16h · Beaune",""),IF('Roulement V2'!D12="IEG","J1 · 8h-16h · Dijon",""),IF('Roulement V2'!C13="IEG","J2 · 14h-22h · Beaune",""),IF('Roulement V2'!D13="IEG","J2 · 14h-22h · Dijon",""),IF('Roulement V2'!C14="IEG","journée · 8h-18h30 · Beaune",""),IF('Roulement V2'!D14="IEG","journée · 8h-18h30 · Dijon",""),IF('Roulement V2'!C15="IEG","journée · 8h-18h30 · Beaune",""),IF('Roulement V2'!D15="IEG","journée · 8h-18h30 · Dijon",""),IF('Roulement V2'!C16="IEG","J5 · 12h-20h · Beaune",""),IF('Roulement V2'!D16="IEG","J5 · 12h-20h · Dijon",""),IF('Roulement V2'!C17="IEG","préJ2/J6 · 8h-14h · Beaune",""),IF('Roulement V2'!D17="IEG","préJ2/J6 · 8h-14h · Dijon",""),IF('Roulement V2'!C18="IEG","journée · 8h-18h30 · Beaune",""),IF('Roulement V2'!D18="IEG","journée · 8h-18h30 · Dijon",""),IF('Roulement V2'!C19="IEG","journée · 8h-18h30 · Beaune",""),IF('Roulement V2'!D19="IEG","journée · 8h-18h30 · Dijon",""))</f>
        <v>journée · 8h-18h30 · Beaune</v>
      </c>
      <c r="C6" t="str" s="2" cm="1">
        <f t="array" ref="C6">_xlfn.TEXTJOIN(" + ",TRUE,IF('Roulement V2'!E12="IEG","J1 · 8h-16h · Beaune",""),IF('Roulement V2'!F12="IEG","J1 · 8h-16h · Dijon",""),IF('Roulement V2'!E13="IEG","J2 · 14h-22h · Beaune",""),IF('Roulement V2'!F13="IEG","J2 · 14h-22h · Dijon",""),IF('Roulement V2'!E14="IEG","journée · 8h-18h30 · Beaune",""),IF('Roulement V2'!F14="IEG","journée · 8h-18h30 · Dijon",""),IF('Roulement V2'!E15="IEG","journée · 8h-18h30 · Beaune",""),IF('Roulement V2'!F15="IEG","journée · 8h-18h30 · Dijon",""),IF('Roulement V2'!E16="IEG","J5 · 12h-20h · Beaune",""),IF('Roulement V2'!F16="IEG","J5 · 12h-20h · Dijon",""),IF('Roulement V2'!E17="IEG","préJ2/J6 · 8h-14h · Beaune",""),IF('Roulement V2'!F17="IEG","préJ2/J6 · 8h-14h · Dijon",""),IF('Roulement V2'!E18="IEG","journée · 8h-18h30 · Beaune",""),IF('Roulement V2'!F18="IEG","journée · 8h-18h30 · Dijon",""),IF('Roulement V2'!E19="IEG","journée · 8h-18h30 · Beaune",""),IF('Roulement V2'!F19="IEG","journée · 8h-18h30 · Dijon",""))</f>
        <v>J1 · 8h-16h · Beaune</v>
      </c>
      <c r="D6" t="str" s="2" cm="1">
        <f t="array" ref="D6">_xlfn.TEXTJOIN(" + ",TRUE,IF('Roulement V2'!G12="IEG","J1 · 8h-16h · Beaune",""),IF('Roulement V2'!H12="IEG","J1 · 8h-16h · Dijon",""),IF('Roulement V2'!G13="IEG","J2 · 14h-22h · Beaune",""),IF('Roulement V2'!H13="IEG","J2 · 14h-22h · Dijon",""),IF('Roulement V2'!G14="IEG","journée · 8h-18h30 · Beaune",""),IF('Roulement V2'!H14="IEG","journée · 8h-18h30 · Dijon",""),IF('Roulement V2'!G15="IEG","journée · 8h-18h30 · Beaune",""),IF('Roulement V2'!H15="IEG","journée · 8h-18h30 · Dijon",""),IF('Roulement V2'!G16="IEG","J5 · 12h-20h · Beaune",""),IF('Roulement V2'!H16="IEG","J5 · 12h-20h · Dijon",""),IF('Roulement V2'!G17="IEG","préJ2/J6 · 8h-14h · Beaune",""),IF('Roulement V2'!H17="IEG","préJ2/J6 · 8h-14h · Dijon",""),IF('Roulement V2'!G18="IEG","journée · 8h-18h30 · Beaune",""),IF('Roulement V2'!H18="IEG","journée · 8h-18h30 · Dijon",""),IF('Roulement V2'!G19="IEG","journée · 8h-18h30 · Beaune",""),IF('Roulement V2'!H19="IEG","journée · 8h-18h30 · Dijon",""))</f>
        <v>J1 · 8h-16h · Beaune</v>
      </c>
      <c r="E6" t="str" s="2" cm="1">
        <f t="array" ref="E6">_xlfn.TEXTJOIN(" + ",TRUE,IF('Roulement V2'!I12="IEG","J1 · 8h-16h · Beaune",""),IF('Roulement V2'!J12="IEG","J1 · 8h-16h · Dijon",""),IF('Roulement V2'!I13="IEG","J2 · 14h-22h · Beaune",""),IF('Roulement V2'!J13="IEG","J2 · 14h-22h · Dijon",""),IF('Roulement V2'!I14="IEG","journée · 8h-18h30 · Beaune",""),IF('Roulement V2'!J14="IEG","journée · 8h-18h30 · Dijon",""),IF('Roulement V2'!I15="IEG","journée · 8h-18h30 · Beaune",""),IF('Roulement V2'!J15="IEG","journée · 8h-18h30 · Dijon",""),IF('Roulement V2'!I16="IEG","J5 · 12h-20h · Beaune",""),IF('Roulement V2'!J16="IEG","J5 · 12h-20h · Dijon",""),IF('Roulement V2'!I17="IEG","préJ2/J6 · 8h-14h · Beaune",""),IF('Roulement V2'!J17="IEG","préJ2/J6 · 8h-14h · Dijon",""),IF('Roulement V2'!I18="IEG","journée · 8h-18h30 · Beaune",""),IF('Roulement V2'!J18="IEG","journée · 8h-18h30 · Dijon",""),IF('Roulement V2'!I19="IEG","journée · 8h-18h30 · Beaune",""),IF('Roulement V2'!J19="IEG","journée · 8h-18h30 · Dijon",""))</f>
        <v>J1 · 8h-16h · Beaune</v>
      </c>
      <c r="F6" t="str" s="2" cm="1">
        <f t="array" ref="F6">_xlfn.TEXTJOIN(" + ",TRUE,IF('Roulement V2'!K12="IEG","J1 · 8h-16h · Beaune",""),IF('Roulement V2'!L12="IEG","J1 · 8h-16h · Dijon",""),IF('Roulement V2'!K13="IEG","J2 · 14h-22h · Beaune",""),IF('Roulement V2'!L13="IEG","J2 · 14h-22h · Dijon",""),IF('Roulement V2'!K14="IEG","journée · 8h-18h30 · Beaune",""),IF('Roulement V2'!L14="IEG","journée · 8h-18h30 · Dijon",""),IF('Roulement V2'!K15="IEG","journée · 8h-18h30 · Beaune",""),IF('Roulement V2'!L15="IEG","journée · 8h-18h30 · Dijon",""),IF('Roulement V2'!K16="IEG","J5 · 12h-20h · Beaune",""),IF('Roulement V2'!L16="IEG","J5 · 12h-20h · Dijon",""),IF('Roulement V2'!K17="IEG","préJ2/J6 · 8h-14h · Beaune",""),IF('Roulement V2'!L17="IEG","préJ2/J6 · 8h-14h · Dijon",""),IF('Roulement V2'!K18="IEG","journée · 8h-18h30 · Beaune",""),IF('Roulement V2'!L18="IEG","journée · 8h-18h30 · Dijon",""),IF('Roulement V2'!K19="IEG","journée · 8h-18h30 · Beaune",""),IF('Roulement V2'!L19="IEG","journée · 8h-18h30 · Dijon",""))</f>
        <v>journée · 8h-18h30 · Beaune</v>
      </c>
      <c r="G6" t="str" s="2" cm="1">
        <f t="array" ref="G6">_xlfn.TEXTJOIN(" + ",TRUE,IF('Roulement V2'!M12="IEG","J1 · 8h-16h · Beaune",""),IF('Roulement V2'!N12="IEG","J1 · 8h-16h · Dijon",""),IF('Roulement V2'!M13="IEG","J2 · 14h-22h · Beaune",""),IF('Roulement V2'!N13="IEG","J2 · 14h-22h · Dijon",""),IF('Roulement V2'!M14="IEG","journée · 8h-18h30 · Beaune",""),IF('Roulement V2'!N14="IEG","journée · 8h-18h30 · Dijon",""),IF('Roulement V2'!M15="IEG","journée · 8h-18h30 · Beaune",""),IF('Roulement V2'!N15="IEG","journée · 8h-18h30 · Dijon",""),IF('Roulement V2'!M16="IEG","J5 · 12h-20h · Beaune",""),IF('Roulement V2'!N16="IEG","J5 · 12h-20h · Dijon",""),IF('Roulement V2'!M17="IEG","préJ2/J6 · 8h-14h · Beaune",""),IF('Roulement V2'!N17="IEG","préJ2/J6 · 8h-14h · Dijon",""),IF('Roulement V2'!M18="IEG","journée · 8h-18h30 · Beaune",""),IF('Roulement V2'!N18="IEG","journée · 8h-18h30 · Dijon",""),IF('Roulement V2'!M19="IEG","journée · 8h-18h30 · Beaune",""),IF('Roulement V2'!N19="IEG","journée · 8h-18h30 · Dijon",""))</f>
        <v>J1 · 8h-16h · Beaune</v>
      </c>
      <c r="H6" t="str" s="2" cm="1">
        <f t="array" ref="H6">_xlfn.TEXTJOIN(" + ",TRUE,IF('Roulement V2'!O12="IEG","J1 · 8h-16h · Beaune",""),IF('Roulement V2'!P12="IEG","J1 · 8h-16h · Dijon",""),IF('Roulement V2'!O13="IEG","J2 · 14h-22h · Beaune",""),IF('Roulement V2'!P13="IEG","J2 · 14h-22h · Dijon",""),IF('Roulement V2'!O14="IEG","journée · 8h-18h30 · Beaune",""),IF('Roulement V2'!P14="IEG","journée · 8h-18h30 · Dijon",""),IF('Roulement V2'!O15="IEG","journée · 8h-18h30 · Beaune",""),IF('Roulement V2'!P15="IEG","journée · 8h-18h30 · Dijon",""),IF('Roulement V2'!O16="IEG","J5 · 12h-20h · Beaune",""),IF('Roulement V2'!P16="IEG","J5 · 12h-20h · Dijon",""),IF('Roulement V2'!O17="IEG","préJ2/J6 · 8h-14h · Beaune",""),IF('Roulement V2'!P17="IEG","préJ2/J6 · 8h-14h · Dijon",""),IF('Roulement V2'!O18="IEG","journée · 8h-18h30 · Beaune",""),IF('Roulement V2'!P18="IEG","journée · 8h-18h30 · Dijon",""),IF('Roulement V2'!O19="IEG","journée · 8h-18h30 · Beaune",""),IF('Roulement V2'!P19="IEG","journée · 8h-18h30 · Dijon",""))</f>
      </c>
      <c r="I6" t="str" s="2" cm="1">
        <f t="array" ref="I6">_xlfn.TEXTJOIN(" + ",TRUE,IF('Roulement V2'!Q12="IEG","J1 · 8h-16h · Beaune",""),IF('Roulement V2'!R12="IEG","J1 · 8h-16h · Dijon",""),IF('Roulement V2'!Q13="IEG","J2 · 14h-22h · Beaune",""),IF('Roulement V2'!R13="IEG","J2 · 14h-22h · Dijon",""),IF('Roulement V2'!Q14="IEG","journée · 8h-18h30 · Beaune",""),IF('Roulement V2'!R14="IEG","journée · 8h-18h30 · Dijon",""),IF('Roulement V2'!Q15="IEG","journée · 8h-18h30 · Beaune",""),IF('Roulement V2'!R15="IEG","journée · 8h-18h30 · Dijon",""),IF('Roulement V2'!Q16="IEG","J5 · 12h-20h · Beaune",""),IF('Roulement V2'!R16="IEG","J5 · 12h-20h · Dijon",""),IF('Roulement V2'!Q17="IEG","préJ2/J6 · 8h-14h · Beaune",""),IF('Roulement V2'!R17="IEG","préJ2/J6 · 8h-14h · Dijon",""),IF('Roulement V2'!Q18="IEG","journée · 8h-18h30 · Beaune",""),IF('Roulement V2'!R18="IEG","journée · 8h-18h30 · Dijon",""),IF('Roulement V2'!Q19="IEG","journée · 8h-18h30 · Beaune",""),IF('Roulement V2'!R19="IEG","journée · 8h-18h30 · Dijon",""))</f>
      </c>
    </row>
    <row r="7" ht="13.55" customHeight="1">
      <c r="A7" t="s" s="30">
        <v>38</v>
      </c>
      <c r="B7" t="str" s="2" cm="1">
        <f t="array" ref="B7">_xlfn.TEXTJOIN(" + ",TRUE,IF('Roulement V2'!C20="IEG","J1 · 8h-16h · Beaune",""),IF('Roulement V2'!D20="IEG","J1 · 8h-16h · Dijon",""),IF('Roulement V2'!C21="IEG","J2 · 14h-22h · Beaune",""),IF('Roulement V2'!D21="IEG","J2 · 14h-22h · Dijon",""),IF('Roulement V2'!C22="IEG","journée · 8h-18h30 · Beaune",""),IF('Roulement V2'!D22="IEG","journée · 8h-18h30 · Dijon",""),IF('Roulement V2'!C23="IEG","journée · 8h-18h30 · Beaune",""),IF('Roulement V2'!D23="IEG","journée · 8h-18h30 · Dijon",""),IF('Roulement V2'!C24="IEG","J5 · 12h-20h · Beaune",""),IF('Roulement V2'!D24="IEG","J5 · 12h-20h · Dijon",""),IF('Roulement V2'!C25="IEG","préJ2/J6 · 8h-14h · Beaune",""),IF('Roulement V2'!D25="IEG","préJ2/J6 · 8h-14h · Dijon",""),IF('Roulement V2'!C26="IEG","journée · 8h-18h30 · Beaune",""),IF('Roulement V2'!D26="IEG","journée · 8h-18h30 · Dijon",""),IF('Roulement V2'!C27="IEG","journée · 8h-18h30 · Beaune",""),IF('Roulement V2'!D27="IEG","journée · 8h-18h30 · Dijon",""))</f>
        <v>journée · 8h-18h30 · Beaune</v>
      </c>
      <c r="C7" t="str" s="2" cm="1">
        <f t="array" ref="C7">_xlfn.TEXTJOIN(" + ",TRUE,IF('Roulement V2'!E20="IEG","J1 · 8h-16h · Beaune",""),IF('Roulement V2'!F20="IEG","J1 · 8h-16h · Dijon",""),IF('Roulement V2'!E21="IEG","J2 · 14h-22h · Beaune",""),IF('Roulement V2'!F21="IEG","J2 · 14h-22h · Dijon",""),IF('Roulement V2'!E22="IEG","journée · 8h-18h30 · Beaune",""),IF('Roulement V2'!F22="IEG","journée · 8h-18h30 · Dijon",""),IF('Roulement V2'!E23="IEG","journée · 8h-18h30 · Beaune",""),IF('Roulement V2'!F23="IEG","journée · 8h-18h30 · Dijon",""),IF('Roulement V2'!E24="IEG","J5 · 12h-20h · Beaune",""),IF('Roulement V2'!F24="IEG","J5 · 12h-20h · Dijon",""),IF('Roulement V2'!E25="IEG","préJ2/J6 · 8h-14h · Beaune",""),IF('Roulement V2'!F25="IEG","préJ2/J6 · 8h-14h · Dijon",""),IF('Roulement V2'!E26="IEG","journée · 8h-18h30 · Beaune",""),IF('Roulement V2'!F26="IEG","journée · 8h-18h30 · Dijon",""),IF('Roulement V2'!E27="IEG","journée · 8h-18h30 · Beaune",""),IF('Roulement V2'!F27="IEG","journée · 8h-18h30 · Dijon",""))</f>
      </c>
      <c r="D7" t="str" s="2" cm="1">
        <f t="array" ref="D7">_xlfn.TEXTJOIN(" + ",TRUE,IF('Roulement V2'!G20="IEG","J1 · 8h-16h · Beaune",""),IF('Roulement V2'!H20="IEG","J1 · 8h-16h · Dijon",""),IF('Roulement V2'!G21="IEG","J2 · 14h-22h · Beaune",""),IF('Roulement V2'!H21="IEG","J2 · 14h-22h · Dijon",""),IF('Roulement V2'!G22="IEG","journée · 8h-18h30 · Beaune",""),IF('Roulement V2'!H22="IEG","journée · 8h-18h30 · Dijon",""),IF('Roulement V2'!G23="IEG","journée · 8h-18h30 · Beaune",""),IF('Roulement V2'!H23="IEG","journée · 8h-18h30 · Dijon",""),IF('Roulement V2'!G24="IEG","J5 · 12h-20h · Beaune",""),IF('Roulement V2'!H24="IEG","J5 · 12h-20h · Dijon",""),IF('Roulement V2'!G25="IEG","préJ2/J6 · 8h-14h · Beaune",""),IF('Roulement V2'!H25="IEG","préJ2/J6 · 8h-14h · Dijon",""),IF('Roulement V2'!G26="IEG","journée · 8h-18h30 · Beaune",""),IF('Roulement V2'!H26="IEG","journée · 8h-18h30 · Dijon",""),IF('Roulement V2'!G27="IEG","journée · 8h-18h30 · Beaune",""),IF('Roulement V2'!H27="IEG","journée · 8h-18h30 · Dijon",""))</f>
        <v>journée · 8h-18h30 · Beaune</v>
      </c>
      <c r="E7" t="str" s="2" cm="1">
        <f t="array" ref="E7">_xlfn.TEXTJOIN(" + ",TRUE,IF('Roulement V2'!I20="IEG","J1 · 8h-16h · Beaune",""),IF('Roulement V2'!J20="IEG","J1 · 8h-16h · Dijon",""),IF('Roulement V2'!I21="IEG","J2 · 14h-22h · Beaune",""),IF('Roulement V2'!J21="IEG","J2 · 14h-22h · Dijon",""),IF('Roulement V2'!I22="IEG","journée · 8h-18h30 · Beaune",""),IF('Roulement V2'!J22="IEG","journée · 8h-18h30 · Dijon",""),IF('Roulement V2'!I23="IEG","journée · 8h-18h30 · Beaune",""),IF('Roulement V2'!J23="IEG","journée · 8h-18h30 · Dijon",""),IF('Roulement V2'!I24="IEG","J5 · 12h-20h · Beaune",""),IF('Roulement V2'!J24="IEG","J5 · 12h-20h · Dijon",""),IF('Roulement V2'!I25="IEG","préJ2/J6 · 8h-14h · Beaune",""),IF('Roulement V2'!J25="IEG","préJ2/J6 · 8h-14h · Dijon",""),IF('Roulement V2'!I26="IEG","journée · 8h-18h30 · Beaune",""),IF('Roulement V2'!J26="IEG","journée · 8h-18h30 · Dijon",""),IF('Roulement V2'!I27="IEG","journée · 8h-18h30 · Beaune",""),IF('Roulement V2'!J27="IEG","journée · 8h-18h30 · Dijon",""))</f>
        <v>journée · 8h-18h30 · Beaune</v>
      </c>
      <c r="F7" t="str" s="2" cm="1">
        <f t="array" ref="F7">_xlfn.TEXTJOIN(" + ",TRUE,IF('Roulement V2'!K20="IEG","J1 · 8h-16h · Beaune",""),IF('Roulement V2'!L20="IEG","J1 · 8h-16h · Dijon",""),IF('Roulement V2'!K21="IEG","J2 · 14h-22h · Beaune",""),IF('Roulement V2'!L21="IEG","J2 · 14h-22h · Dijon",""),IF('Roulement V2'!K22="IEG","journée · 8h-18h30 · Beaune",""),IF('Roulement V2'!L22="IEG","journée · 8h-18h30 · Dijon",""),IF('Roulement V2'!K23="IEG","journée · 8h-18h30 · Beaune",""),IF('Roulement V2'!L23="IEG","journée · 8h-18h30 · Dijon",""),IF('Roulement V2'!K24="IEG","J5 · 12h-20h · Beaune",""),IF('Roulement V2'!L24="IEG","J5 · 12h-20h · Dijon",""),IF('Roulement V2'!K25="IEG","préJ2/J6 · 8h-14h · Beaune",""),IF('Roulement V2'!L25="IEG","préJ2/J6 · 8h-14h · Dijon",""),IF('Roulement V2'!K26="IEG","journée · 8h-18h30 · Beaune",""),IF('Roulement V2'!L26="IEG","journée · 8h-18h30 · Dijon",""),IF('Roulement V2'!K27="IEG","journée · 8h-18h30 · Beaune",""),IF('Roulement V2'!L27="IEG","journée · 8h-18h30 · Dijon",""))</f>
        <v>J2 · 14h-22h · Beaune</v>
      </c>
      <c r="G7" t="str" s="2" cm="1">
        <f t="array" ref="G7">_xlfn.TEXTJOIN(" + ",TRUE,IF('Roulement V2'!M20="IEG","J1 · 8h-16h · Beaune",""),IF('Roulement V2'!N20="IEG","J1 · 8h-16h · Dijon",""),IF('Roulement V2'!M21="IEG","J2 · 14h-22h · Beaune",""),IF('Roulement V2'!N21="IEG","J2 · 14h-22h · Dijon",""),IF('Roulement V2'!M22="IEG","journée · 8h-18h30 · Beaune",""),IF('Roulement V2'!N22="IEG","journée · 8h-18h30 · Dijon",""),IF('Roulement V2'!M23="IEG","journée · 8h-18h30 · Beaune",""),IF('Roulement V2'!N23="IEG","journée · 8h-18h30 · Dijon",""),IF('Roulement V2'!M24="IEG","J5 · 12h-20h · Beaune",""),IF('Roulement V2'!N24="IEG","J5 · 12h-20h · Dijon",""),IF('Roulement V2'!M25="IEG","préJ2/J6 · 8h-14h · Beaune",""),IF('Roulement V2'!N25="IEG","préJ2/J6 · 8h-14h · Dijon",""),IF('Roulement V2'!M26="IEG","journée · 8h-18h30 · Beaune",""),IF('Roulement V2'!N26="IEG","journée · 8h-18h30 · Dijon",""),IF('Roulement V2'!M27="IEG","journée · 8h-18h30 · Beaune",""),IF('Roulement V2'!N27="IEG","journée · 8h-18h30 · Dijon",""))</f>
        <v>J2 · 14h-22h · Beaune</v>
      </c>
      <c r="H7" t="str" s="2" cm="1">
        <f t="array" ref="H7">_xlfn.TEXTJOIN(" + ",TRUE,IF('Roulement V2'!O20="IEG","J1 · 8h-16h · Beaune",""),IF('Roulement V2'!P20="IEG","J1 · 8h-16h · Dijon",""),IF('Roulement V2'!O21="IEG","J2 · 14h-22h · Beaune",""),IF('Roulement V2'!P21="IEG","J2 · 14h-22h · Dijon",""),IF('Roulement V2'!O22="IEG","journée · 8h-18h30 · Beaune",""),IF('Roulement V2'!P22="IEG","journée · 8h-18h30 · Dijon",""),IF('Roulement V2'!O23="IEG","journée · 8h-18h30 · Beaune",""),IF('Roulement V2'!P23="IEG","journée · 8h-18h30 · Dijon",""),IF('Roulement V2'!O24="IEG","J5 · 12h-20h · Beaune",""),IF('Roulement V2'!P24="IEG","J5 · 12h-20h · Dijon",""),IF('Roulement V2'!O25="IEG","préJ2/J6 · 8h-14h · Beaune",""),IF('Roulement V2'!P25="IEG","préJ2/J6 · 8h-14h · Dijon",""),IF('Roulement V2'!O26="IEG","journée · 8h-18h30 · Beaune",""),IF('Roulement V2'!P26="IEG","journée · 8h-18h30 · Dijon",""),IF('Roulement V2'!O27="IEG","journée · 8h-18h30 · Beaune",""),IF('Roulement V2'!P27="IEG","journée · 8h-18h30 · Dijon",""))</f>
      </c>
      <c r="I7" t="str" s="2" cm="1">
        <f t="array" ref="I7">_xlfn.TEXTJOIN(" + ",TRUE,IF('Roulement V2'!Q20="IEG","J1 · 8h-16h · Beaune",""),IF('Roulement V2'!R20="IEG","J1 · 8h-16h · Dijon",""),IF('Roulement V2'!Q21="IEG","J2 · 14h-22h · Beaune",""),IF('Roulement V2'!R21="IEG","J2 · 14h-22h · Dijon",""),IF('Roulement V2'!Q22="IEG","journée · 8h-18h30 · Beaune",""),IF('Roulement V2'!R22="IEG","journée · 8h-18h30 · Dijon",""),IF('Roulement V2'!Q23="IEG","journée · 8h-18h30 · Beaune",""),IF('Roulement V2'!R23="IEG","journée · 8h-18h30 · Dijon",""),IF('Roulement V2'!Q24="IEG","J5 · 12h-20h · Beaune",""),IF('Roulement V2'!R24="IEG","J5 · 12h-20h · Dijon",""),IF('Roulement V2'!Q25="IEG","préJ2/J6 · 8h-14h · Beaune",""),IF('Roulement V2'!R25="IEG","préJ2/J6 · 8h-14h · Dijon",""),IF('Roulement V2'!Q26="IEG","journée · 8h-18h30 · Beaune",""),IF('Roulement V2'!R26="IEG","journée · 8h-18h30 · Dijon",""),IF('Roulement V2'!Q27="IEG","journée · 8h-18h30 · Beaune",""),IF('Roulement V2'!R27="IEG","journée · 8h-18h30 · Dijon",""))</f>
        <v>journée · 8h-18h30 · Beaune</v>
      </c>
    </row>
    <row r="8" ht="13.55" customHeight="1">
      <c r="A8" t="s" s="30">
        <v>39</v>
      </c>
      <c r="B8" t="str" s="2" cm="1">
        <f t="array" ref="B8">_xlfn.TEXTJOIN(" + ",TRUE,IF('Roulement V2'!C28="IEG","J1 · 8h-16h · Beaune",""),IF('Roulement V2'!D28="IEG","J1 · 8h-16h · Dijon",""),IF('Roulement V2'!C29="IEG","J2 · 14h-22h · Beaune",""),IF('Roulement V2'!D29="IEG","J2 · 14h-22h · Dijon",""),IF('Roulement V2'!C30="IEG","journée · 8h-18h30 · Beaune",""),IF('Roulement V2'!D30="IEG","journée · 8h-18h30 · Dijon",""),IF('Roulement V2'!C31="IEG","journée · 8h-18h30 · Beaune",""),IF('Roulement V2'!D31="IEG","journée · 8h-18h30 · Dijon",""),IF('Roulement V2'!C32="IEG","J5 · 12h-20h · Beaune",""),IF('Roulement V2'!D32="IEG","J5 · 12h-20h · Dijon",""),IF('Roulement V2'!C33="IEG","préJ2/J6 · 8h-14h · Beaune",""),IF('Roulement V2'!D33="IEG","préJ2/J6 · 8h-14h · Dijon",""),IF('Roulement V2'!C34="IEG","journée · 8h-18h30 · Beaune",""),IF('Roulement V2'!D34="IEG","journée · 8h-18h30 · Dijon",""),IF('Roulement V2'!C35="IEG","journée · 8h-18h30 · Beaune",""),IF('Roulement V2'!D35="IEG","journée · 8h-18h30 · Dijon",""))</f>
        <v>journée · 8h-18h30 · Beaune</v>
      </c>
      <c r="C8" t="str" s="2" cm="1">
        <f t="array" ref="C8">_xlfn.TEXTJOIN(" + ",TRUE,IF('Roulement V2'!E28="IEG","J1 · 8h-16h · Beaune",""),IF('Roulement V2'!F28="IEG","J1 · 8h-16h · Dijon",""),IF('Roulement V2'!E29="IEG","J2 · 14h-22h · Beaune",""),IF('Roulement V2'!F29="IEG","J2 · 14h-22h · Dijon",""),IF('Roulement V2'!E30="IEG","journée · 8h-18h30 · Beaune",""),IF('Roulement V2'!F30="IEG","journée · 8h-18h30 · Dijon",""),IF('Roulement V2'!E31="IEG","journée · 8h-18h30 · Beaune",""),IF('Roulement V2'!F31="IEG","journée · 8h-18h30 · Dijon",""),IF('Roulement V2'!E32="IEG","J5 · 12h-20h · Beaune",""),IF('Roulement V2'!F32="IEG","J5 · 12h-20h · Dijon",""),IF('Roulement V2'!E33="IEG","préJ2/J6 · 8h-14h · Beaune",""),IF('Roulement V2'!F33="IEG","préJ2/J6 · 8h-14h · Dijon",""),IF('Roulement V2'!E34="IEG","journée · 8h-18h30 · Beaune",""),IF('Roulement V2'!F34="IEG","journée · 8h-18h30 · Dijon",""),IF('Roulement V2'!E35="IEG","journée · 8h-18h30 · Beaune",""),IF('Roulement V2'!F35="IEG","journée · 8h-18h30 · Dijon",""))</f>
        <v>journée · 8h-18h30 · Beaune</v>
      </c>
      <c r="D8" t="str" s="2" cm="1">
        <f t="array" ref="D8">_xlfn.TEXTJOIN(" + ",TRUE,IF('Roulement V2'!G28="IEG","J1 · 8h-16h · Beaune",""),IF('Roulement V2'!H28="IEG","J1 · 8h-16h · Dijon",""),IF('Roulement V2'!G29="IEG","J2 · 14h-22h · Beaune",""),IF('Roulement V2'!H29="IEG","J2 · 14h-22h · Dijon",""),IF('Roulement V2'!G30="IEG","journée · 8h-18h30 · Beaune",""),IF('Roulement V2'!H30="IEG","journée · 8h-18h30 · Dijon",""),IF('Roulement V2'!G31="IEG","journée · 8h-18h30 · Beaune",""),IF('Roulement V2'!H31="IEG","journée · 8h-18h30 · Dijon",""),IF('Roulement V2'!G32="IEG","J5 · 12h-20h · Beaune",""),IF('Roulement V2'!H32="IEG","J5 · 12h-20h · Dijon",""),IF('Roulement V2'!G33="IEG","préJ2/J6 · 8h-14h · Beaune",""),IF('Roulement V2'!H33="IEG","préJ2/J6 · 8h-14h · Dijon",""),IF('Roulement V2'!G34="IEG","journée · 8h-18h30 · Beaune",""),IF('Roulement V2'!H34="IEG","journée · 8h-18h30 · Dijon",""),IF('Roulement V2'!G35="IEG","journée · 8h-18h30 · Beaune",""),IF('Roulement V2'!H35="IEG","journée · 8h-18h30 · Dijon",""))</f>
      </c>
      <c r="E8" t="str" s="2" cm="1">
        <f t="array" ref="E8">_xlfn.TEXTJOIN(" + ",TRUE,IF('Roulement V2'!I28="IEG","J1 · 8h-16h · Beaune",""),IF('Roulement V2'!J28="IEG","J1 · 8h-16h · Dijon",""),IF('Roulement V2'!I29="IEG","J2 · 14h-22h · Beaune",""),IF('Roulement V2'!J29="IEG","J2 · 14h-22h · Dijon",""),IF('Roulement V2'!I30="IEG","journée · 8h-18h30 · Beaune",""),IF('Roulement V2'!J30="IEG","journée · 8h-18h30 · Dijon",""),IF('Roulement V2'!I31="IEG","journée · 8h-18h30 · Beaune",""),IF('Roulement V2'!J31="IEG","journée · 8h-18h30 · Dijon",""),IF('Roulement V2'!I32="IEG","J5 · 12h-20h · Beaune",""),IF('Roulement V2'!J32="IEG","J5 · 12h-20h · Dijon",""),IF('Roulement V2'!I33="IEG","préJ2/J6 · 8h-14h · Beaune",""),IF('Roulement V2'!J33="IEG","préJ2/J6 · 8h-14h · Dijon",""),IF('Roulement V2'!I34="IEG","journée · 8h-18h30 · Beaune",""),IF('Roulement V2'!J34="IEG","journée · 8h-18h30 · Dijon",""),IF('Roulement V2'!I35="IEG","journée · 8h-18h30 · Beaune",""),IF('Roulement V2'!J35="IEG","journée · 8h-18h30 · Dijon",""))</f>
        <v>J2 · 14h-22h · Beaune</v>
      </c>
      <c r="F8" t="str" s="2" cm="1">
        <f t="array" ref="F8">_xlfn.TEXTJOIN(" + ",TRUE,IF('Roulement V2'!K28="IEG","J1 · 8h-16h · Beaune",""),IF('Roulement V2'!L28="IEG","J1 · 8h-16h · Dijon",""),IF('Roulement V2'!K29="IEG","J2 · 14h-22h · Beaune",""),IF('Roulement V2'!L29="IEG","J2 · 14h-22h · Dijon",""),IF('Roulement V2'!K30="IEG","journée · 8h-18h30 · Beaune",""),IF('Roulement V2'!L30="IEG","journée · 8h-18h30 · Dijon",""),IF('Roulement V2'!K31="IEG","journée · 8h-18h30 · Beaune",""),IF('Roulement V2'!L31="IEG","journée · 8h-18h30 · Dijon",""),IF('Roulement V2'!K32="IEG","J5 · 12h-20h · Beaune",""),IF('Roulement V2'!L32="IEG","J5 · 12h-20h · Dijon",""),IF('Roulement V2'!K33="IEG","préJ2/J6 · 8h-14h · Beaune",""),IF('Roulement V2'!L33="IEG","préJ2/J6 · 8h-14h · Dijon",""),IF('Roulement V2'!K34="IEG","journée · 8h-18h30 · Beaune",""),IF('Roulement V2'!L34="IEG","journée · 8h-18h30 · Dijon",""),IF('Roulement V2'!K35="IEG","journée · 8h-18h30 · Beaune",""),IF('Roulement V2'!L35="IEG","journée · 8h-18h30 · Dijon",""))</f>
        <v>J1 · 8h-16h · Beaune</v>
      </c>
      <c r="G8" t="str" s="2" cm="1">
        <f t="array" ref="G8">_xlfn.TEXTJOIN(" + ",TRUE,IF('Roulement V2'!M28="IEG","J1 · 8h-16h · Beaune",""),IF('Roulement V2'!N28="IEG","J1 · 8h-16h · Dijon",""),IF('Roulement V2'!M29="IEG","J2 · 14h-22h · Beaune",""),IF('Roulement V2'!N29="IEG","J2 · 14h-22h · Dijon",""),IF('Roulement V2'!M30="IEG","journée · 8h-18h30 · Beaune",""),IF('Roulement V2'!N30="IEG","journée · 8h-18h30 · Dijon",""),IF('Roulement V2'!M31="IEG","journée · 8h-18h30 · Beaune",""),IF('Roulement V2'!N31="IEG","journée · 8h-18h30 · Dijon",""),IF('Roulement V2'!M32="IEG","J5 · 12h-20h · Beaune",""),IF('Roulement V2'!N32="IEG","J5 · 12h-20h · Dijon",""),IF('Roulement V2'!M33="IEG","préJ2/J6 · 8h-14h · Beaune",""),IF('Roulement V2'!N33="IEG","préJ2/J6 · 8h-14h · Dijon",""),IF('Roulement V2'!M34="IEG","journée · 8h-18h30 · Beaune",""),IF('Roulement V2'!N34="IEG","journée · 8h-18h30 · Dijon",""),IF('Roulement V2'!M35="IEG","journée · 8h-18h30 · Beaune",""),IF('Roulement V2'!N35="IEG","journée · 8h-18h30 · Dijon",""))</f>
        <v>J1 · 8h-16h · Beaune</v>
      </c>
      <c r="H8" t="str" s="2" cm="1">
        <f t="array" ref="H8">_xlfn.TEXTJOIN(" + ",TRUE,IF('Roulement V2'!O28="IEG","J1 · 8h-16h · Beaune",""),IF('Roulement V2'!P28="IEG","J1 · 8h-16h · Dijon",""),IF('Roulement V2'!O29="IEG","J2 · 14h-22h · Beaune",""),IF('Roulement V2'!P29="IEG","J2 · 14h-22h · Dijon",""),IF('Roulement V2'!O30="IEG","journée · 8h-18h30 · Beaune",""),IF('Roulement V2'!P30="IEG","journée · 8h-18h30 · Dijon",""),IF('Roulement V2'!O31="IEG","journée · 8h-18h30 · Beaune",""),IF('Roulement V2'!P31="IEG","journée · 8h-18h30 · Dijon",""),IF('Roulement V2'!O32="IEG","J5 · 12h-20h · Beaune",""),IF('Roulement V2'!P32="IEG","J5 · 12h-20h · Dijon",""),IF('Roulement V2'!O33="IEG","préJ2/J6 · 8h-14h · Beaune",""),IF('Roulement V2'!P33="IEG","préJ2/J6 · 8h-14h · Dijon",""),IF('Roulement V2'!O34="IEG","journée · 8h-18h30 · Beaune",""),IF('Roulement V2'!P34="IEG","journée · 8h-18h30 · Dijon",""),IF('Roulement V2'!O35="IEG","journée · 8h-18h30 · Beaune",""),IF('Roulement V2'!P35="IEG","journée · 8h-18h30 · Dijon",""))</f>
      </c>
      <c r="I8" t="str" s="2" cm="1">
        <f t="array" ref="I8">_xlfn.TEXTJOIN(" + ",TRUE,IF('Roulement V2'!Q28="IEG","J1 · 8h-16h · Beaune",""),IF('Roulement V2'!R28="IEG","J1 · 8h-16h · Dijon",""),IF('Roulement V2'!Q29="IEG","J2 · 14h-22h · Beaune",""),IF('Roulement V2'!R29="IEG","J2 · 14h-22h · Dijon",""),IF('Roulement V2'!Q30="IEG","journée · 8h-18h30 · Beaune",""),IF('Roulement V2'!R30="IEG","journée · 8h-18h30 · Dijon",""),IF('Roulement V2'!Q31="IEG","journée · 8h-18h30 · Beaune",""),IF('Roulement V2'!R31="IEG","journée · 8h-18h30 · Dijon",""),IF('Roulement V2'!Q32="IEG","J5 · 12h-20h · Beaune",""),IF('Roulement V2'!R32="IEG","J5 · 12h-20h · Dijon",""),IF('Roulement V2'!Q33="IEG","préJ2/J6 · 8h-14h · Beaune",""),IF('Roulement V2'!R33="IEG","préJ2/J6 · 8h-14h · Dijon",""),IF('Roulement V2'!Q34="IEG","journée · 8h-18h30 · Beaune",""),IF('Roulement V2'!R34="IEG","journée · 8h-18h30 · Dijon",""),IF('Roulement V2'!Q35="IEG","journée · 8h-18h30 · Beaune",""),IF('Roulement V2'!R35="IEG","journée · 8h-18h30 · Dijon",""))</f>
        <v>J2 · 14h-22h · Beaune</v>
      </c>
    </row>
    <row r="9" ht="13.55" customHeight="1">
      <c r="A9" t="s" s="30">
        <v>40</v>
      </c>
      <c r="B9" t="str" s="2" cm="1">
        <f t="array" ref="B9">_xlfn.TEXTJOIN(" + ",TRUE,IF('Roulement V2'!C36="IEG","J1 · 8h-16h · Beaune",""),IF('Roulement V2'!D36="IEG","J1 · 8h-16h · Dijon",""),IF('Roulement V2'!C37="IEG","J2 · 14h-22h · Beaune",""),IF('Roulement V2'!D37="IEG","J2 · 14h-22h · Dijon",""),IF('Roulement V2'!C38="IEG","journée · 8h-18h30 · Beaune",""),IF('Roulement V2'!D38="IEG","journée · 8h-18h30 · Dijon",""),IF('Roulement V2'!C39="IEG","journée · 8h-18h30 · Beaune",""),IF('Roulement V2'!D39="IEG","journée · 8h-18h30 · Dijon",""),IF('Roulement V2'!C40="IEG","J5 · 12h-20h · Beaune",""),IF('Roulement V2'!D40="IEG","J5 · 12h-20h · Dijon",""),IF('Roulement V2'!C41="IEG","préJ2/J6 · 8h-14h · Beaune",""),IF('Roulement V2'!D41="IEG","préJ2/J6 · 8h-14h · Dijon",""),IF('Roulement V2'!C42="IEG","journée · 8h-18h30 · Beaune",""),IF('Roulement V2'!D42="IEG","journée · 8h-18h30 · Dijon",""),IF('Roulement V2'!C43="IEG","journée · 8h-18h30 · Beaune",""),IF('Roulement V2'!D43="IEG","journée · 8h-18h30 · Dijon",""))</f>
        <v>J2 · 14h-22h · Beaune</v>
      </c>
      <c r="C9" t="str" s="2" cm="1">
        <f t="array" ref="C9">_xlfn.TEXTJOIN(" + ",TRUE,IF('Roulement V2'!E36="IEG","J1 · 8h-16h · Beaune",""),IF('Roulement V2'!F36="IEG","J1 · 8h-16h · Dijon",""),IF('Roulement V2'!E37="IEG","J2 · 14h-22h · Beaune",""),IF('Roulement V2'!F37="IEG","J2 · 14h-22h · Dijon",""),IF('Roulement V2'!E38="IEG","journée · 8h-18h30 · Beaune",""),IF('Roulement V2'!F38="IEG","journée · 8h-18h30 · Dijon",""),IF('Roulement V2'!E39="IEG","journée · 8h-18h30 · Beaune",""),IF('Roulement V2'!F39="IEG","journée · 8h-18h30 · Dijon",""),IF('Roulement V2'!E40="IEG","J5 · 12h-20h · Beaune",""),IF('Roulement V2'!F40="IEG","J5 · 12h-20h · Dijon",""),IF('Roulement V2'!E41="IEG","préJ2/J6 · 8h-14h · Beaune",""),IF('Roulement V2'!F41="IEG","préJ2/J6 · 8h-14h · Dijon",""),IF('Roulement V2'!E42="IEG","journée · 8h-18h30 · Beaune",""),IF('Roulement V2'!F42="IEG","journée · 8h-18h30 · Dijon",""),IF('Roulement V2'!E43="IEG","journée · 8h-18h30 · Beaune",""),IF('Roulement V2'!F43="IEG","journée · 8h-18h30 · Dijon",""))</f>
        <v>journée · 8h-18h30 · Beaune</v>
      </c>
      <c r="D9" t="str" s="2" cm="1">
        <f t="array" ref="D9">_xlfn.TEXTJOIN(" + ",TRUE,IF('Roulement V2'!G36="IEG","J1 · 8h-16h · Beaune",""),IF('Roulement V2'!H36="IEG","J1 · 8h-16h · Dijon",""),IF('Roulement V2'!G37="IEG","J2 · 14h-22h · Beaune",""),IF('Roulement V2'!H37="IEG","J2 · 14h-22h · Dijon",""),IF('Roulement V2'!G38="IEG","journée · 8h-18h30 · Beaune",""),IF('Roulement V2'!H38="IEG","journée · 8h-18h30 · Dijon",""),IF('Roulement V2'!G39="IEG","journée · 8h-18h30 · Beaune",""),IF('Roulement V2'!H39="IEG","journée · 8h-18h30 · Dijon",""),IF('Roulement V2'!G40="IEG","J5 · 12h-20h · Beaune",""),IF('Roulement V2'!H40="IEG","J5 · 12h-20h · Dijon",""),IF('Roulement V2'!G41="IEG","préJ2/J6 · 8h-14h · Beaune",""),IF('Roulement V2'!H41="IEG","préJ2/J6 · 8h-14h · Dijon",""),IF('Roulement V2'!G42="IEG","journée · 8h-18h30 · Beaune",""),IF('Roulement V2'!H42="IEG","journée · 8h-18h30 · Dijon",""),IF('Roulement V2'!G43="IEG","journée · 8h-18h30 · Beaune",""),IF('Roulement V2'!H43="IEG","journée · 8h-18h30 · Dijon",""))</f>
        <v>journée · 8h-18h30 · Beaune</v>
      </c>
      <c r="E9" t="str" s="2" cm="1">
        <f t="array" ref="E9">_xlfn.TEXTJOIN(" + ",TRUE,IF('Roulement V2'!I36="IEG","J1 · 8h-16h · Beaune",""),IF('Roulement V2'!J36="IEG","J1 · 8h-16h · Dijon",""),IF('Roulement V2'!I37="IEG","J2 · 14h-22h · Beaune",""),IF('Roulement V2'!J37="IEG","J2 · 14h-22h · Dijon",""),IF('Roulement V2'!I38="IEG","journée · 8h-18h30 · Beaune",""),IF('Roulement V2'!J38="IEG","journée · 8h-18h30 · Dijon",""),IF('Roulement V2'!I39="IEG","journée · 8h-18h30 · Beaune",""),IF('Roulement V2'!J39="IEG","journée · 8h-18h30 · Dijon",""),IF('Roulement V2'!I40="IEG","J5 · 12h-20h · Beaune",""),IF('Roulement V2'!J40="IEG","J5 · 12h-20h · Dijon",""),IF('Roulement V2'!I41="IEG","préJ2/J6 · 8h-14h · Beaune",""),IF('Roulement V2'!J41="IEG","préJ2/J6 · 8h-14h · Dijon",""),IF('Roulement V2'!I42="IEG","journée · 8h-18h30 · Beaune",""),IF('Roulement V2'!J42="IEG","journée · 8h-18h30 · Dijon",""),IF('Roulement V2'!I43="IEG","journée · 8h-18h30 · Beaune",""),IF('Roulement V2'!J43="IEG","journée · 8h-18h30 · Dijon",""))</f>
      </c>
      <c r="F9" t="str" s="2" cm="1">
        <f t="array" ref="F9">_xlfn.TEXTJOIN(" + ",TRUE,IF('Roulement V2'!K36="IEG","J1 · 8h-16h · Beaune",""),IF('Roulement V2'!L36="IEG","J1 · 8h-16h · Dijon",""),IF('Roulement V2'!K37="IEG","J2 · 14h-22h · Beaune",""),IF('Roulement V2'!L37="IEG","J2 · 14h-22h · Dijon",""),IF('Roulement V2'!K38="IEG","journée · 8h-18h30 · Beaune",""),IF('Roulement V2'!L38="IEG","journée · 8h-18h30 · Dijon",""),IF('Roulement V2'!K39="IEG","journée · 8h-18h30 · Beaune",""),IF('Roulement V2'!L39="IEG","journée · 8h-18h30 · Dijon",""),IF('Roulement V2'!K40="IEG","J5 · 12h-20h · Beaune",""),IF('Roulement V2'!L40="IEG","J5 · 12h-20h · Dijon",""),IF('Roulement V2'!K41="IEG","préJ2/J6 · 8h-14h · Beaune",""),IF('Roulement V2'!L41="IEG","préJ2/J6 · 8h-14h · Dijon",""),IF('Roulement V2'!K42="IEG","journée · 8h-18h30 · Beaune",""),IF('Roulement V2'!L42="IEG","journée · 8h-18h30 · Dijon",""),IF('Roulement V2'!K43="IEG","journée · 8h-18h30 · Beaune",""),IF('Roulement V2'!L43="IEG","journée · 8h-18h30 · Dijon",""))</f>
      </c>
      <c r="G9" t="str" s="2" cm="1">
        <f t="array" ref="G9">_xlfn.TEXTJOIN(" + ",TRUE,IF('Roulement V2'!M36="IEG","J1 · 8h-16h · Beaune",""),IF('Roulement V2'!N36="IEG","J1 · 8h-16h · Dijon",""),IF('Roulement V2'!M37="IEG","J2 · 14h-22h · Beaune",""),IF('Roulement V2'!N37="IEG","J2 · 14h-22h · Dijon",""),IF('Roulement V2'!M38="IEG","journée · 8h-18h30 · Beaune",""),IF('Roulement V2'!N38="IEG","journée · 8h-18h30 · Dijon",""),IF('Roulement V2'!M39="IEG","journée · 8h-18h30 · Beaune",""),IF('Roulement V2'!N39="IEG","journée · 8h-18h30 · Dijon",""),IF('Roulement V2'!M40="IEG","J5 · 12h-20h · Beaune",""),IF('Roulement V2'!N40="IEG","J5 · 12h-20h · Dijon",""),IF('Roulement V2'!M41="IEG","préJ2/J6 · 8h-14h · Beaune",""),IF('Roulement V2'!N41="IEG","préJ2/J6 · 8h-14h · Dijon",""),IF('Roulement V2'!M42="IEG","journée · 8h-18h30 · Beaune",""),IF('Roulement V2'!N42="IEG","journée · 8h-18h30 · Dijon",""),IF('Roulement V2'!M43="IEG","journée · 8h-18h30 · Beaune",""),IF('Roulement V2'!N43="IEG","journée · 8h-18h30 · Dijon",""))</f>
        <v>journée · 8h-18h30 · Beaune</v>
      </c>
      <c r="H9" t="str" s="2" cm="1">
        <f t="array" ref="H9">_xlfn.TEXTJOIN(" + ",TRUE,IF('Roulement V2'!O36="IEG","J1 · 8h-16h · Beaune",""),IF('Roulement V2'!P36="IEG","J1 · 8h-16h · Dijon",""),IF('Roulement V2'!O37="IEG","J2 · 14h-22h · Beaune",""),IF('Roulement V2'!P37="IEG","J2 · 14h-22h · Dijon",""),IF('Roulement V2'!O38="IEG","journée · 8h-18h30 · Beaune",""),IF('Roulement V2'!P38="IEG","journée · 8h-18h30 · Dijon",""),IF('Roulement V2'!O39="IEG","journée · 8h-18h30 · Beaune",""),IF('Roulement V2'!P39="IEG","journée · 8h-18h30 · Dijon",""),IF('Roulement V2'!O40="IEG","J5 · 12h-20h · Beaune",""),IF('Roulement V2'!P40="IEG","J5 · 12h-20h · Dijon",""),IF('Roulement V2'!O41="IEG","préJ2/J6 · 8h-14h · Beaune",""),IF('Roulement V2'!P41="IEG","préJ2/J6 · 8h-14h · Dijon",""),IF('Roulement V2'!O42="IEG","journée · 8h-18h30 · Beaune",""),IF('Roulement V2'!P42="IEG","journée · 8h-18h30 · Dijon",""),IF('Roulement V2'!O43="IEG","journée · 8h-18h30 · Beaune",""),IF('Roulement V2'!P43="IEG","journée · 8h-18h30 · Dijon",""))</f>
      </c>
      <c r="I9" t="str" s="2" cm="1">
        <f t="array" ref="I9">_xlfn.TEXTJOIN(" + ",TRUE,IF('Roulement V2'!Q36="IEG","J1 · 8h-16h · Beaune",""),IF('Roulement V2'!R36="IEG","J1 · 8h-16h · Dijon",""),IF('Roulement V2'!Q37="IEG","J2 · 14h-22h · Beaune",""),IF('Roulement V2'!R37="IEG","J2 · 14h-22h · Dijon",""),IF('Roulement V2'!Q38="IEG","journée · 8h-18h30 · Beaune",""),IF('Roulement V2'!R38="IEG","journée · 8h-18h30 · Dijon",""),IF('Roulement V2'!Q39="IEG","journée · 8h-18h30 · Beaune",""),IF('Roulement V2'!R39="IEG","journée · 8h-18h30 · Dijon",""),IF('Roulement V2'!Q40="IEG","J5 · 12h-20h · Beaune",""),IF('Roulement V2'!R40="IEG","J5 · 12h-20h · Dijon",""),IF('Roulement V2'!Q41="IEG","préJ2/J6 · 8h-14h · Beaune",""),IF('Roulement V2'!R41="IEG","préJ2/J6 · 8h-14h · Dijon",""),IF('Roulement V2'!Q42="IEG","journée · 8h-18h30 · Beaune",""),IF('Roulement V2'!R42="IEG","journée · 8h-18h30 · Dijon",""),IF('Roulement V2'!Q43="IEG","journée · 8h-18h30 · Beaune",""),IF('Roulement V2'!R43="IEG","journée · 8h-18h30 · Dijon",""))</f>
      </c>
    </row>
    <row r="10" ht="13.55" customHeight="1">
      <c r="A10" t="s" s="30">
        <v>41</v>
      </c>
      <c r="B10" t="str" s="2" cm="1">
        <f t="array" ref="B10">_xlfn.TEXTJOIN(" + ",TRUE,IF('Roulement V2'!C44="IEG","Garde · Beaune",""),IF('Roulement V2'!D44="IEG","Garde · Dijon",""),IF('Roulement V2'!C45="IEG","Doublon · Beaune",""),IF('Roulement V2'!D45="IEG","Doublon · Dijon",""))</f>
      </c>
      <c r="C10" t="str" s="2" cm="1">
        <f t="array" ref="C10">_xlfn.TEXTJOIN(" + ",TRUE,IF('Roulement V2'!E44="IEG","Garde · Beaune",""),IF('Roulement V2'!F44="IEG","Garde · Dijon",""),IF('Roulement V2'!E45="IEG","Doublon · Beaune",""),IF('Roulement V2'!F45="IEG","Doublon · Dijon",""))</f>
      </c>
      <c r="D10" t="str" s="2" cm="1">
        <f t="array" ref="D10">_xlfn.TEXTJOIN(" + ",TRUE,IF('Roulement V2'!G44="IEG","Garde · Beaune",""),IF('Roulement V2'!H44="IEG","Garde · Dijon",""),IF('Roulement V2'!G45="IEG","Doublon · Beaune",""),IF('Roulement V2'!H45="IEG","Doublon · Dijon",""))</f>
      </c>
      <c r="E10" t="str" s="2" cm="1">
        <f t="array" ref="E10">_xlfn.TEXTJOIN(" + ",TRUE,IF('Roulement V2'!I44="IEG","Garde · Beaune",""),IF('Roulement V2'!J44="IEG","Garde · Dijon",""),IF('Roulement V2'!I45="IEG","Doublon · Beaune",""),IF('Roulement V2'!J45="IEG","Doublon · Dijon",""))</f>
        <v>Garde · Beaune</v>
      </c>
      <c r="F10" t="str" s="2" cm="1">
        <f t="array" ref="F10">_xlfn.TEXTJOIN(" + ",TRUE,IF('Roulement V2'!K44="IEG","Garde · Beaune",""),IF('Roulement V2'!L44="IEG","Garde · Dijon",""),IF('Roulement V2'!K45="IEG","Doublon · Beaune",""),IF('Roulement V2'!L45="IEG","Doublon · Dijon",""))</f>
        <v>Doublon · Beaune</v>
      </c>
      <c r="G10" t="str" s="2" cm="1">
        <f t="array" ref="G10">_xlfn.TEXTJOIN(" + ",TRUE,IF('Roulement V2'!M44="IEG","Garde · Beaune",""),IF('Roulement V2'!N44="IEG","Garde · Dijon",""),IF('Roulement V2'!M45="IEG","Doublon · Beaune",""),IF('Roulement V2'!N45="IEG","Doublon · Dijon",""))</f>
      </c>
      <c r="H10" t="str" s="2" cm="1">
        <f t="array" ref="H10">_xlfn.TEXTJOIN(" + ",TRUE,IF('Roulement V2'!O44="IEG","Garde · Beaune",""),IF('Roulement V2'!P44="IEG","Garde · Dijon",""),IF('Roulement V2'!O45="IEG","Doublon · Beaune",""),IF('Roulement V2'!P45="IEG","Doublon · Dijon",""))</f>
      </c>
      <c r="I10" t="str" s="2" cm="1">
        <f t="array" ref="I10">_xlfn.TEXTJOIN(" + ",TRUE,IF('Roulement V2'!Q44="IEG","Garde · Beaune",""),IF('Roulement V2'!R44="IEG","Garde · Dijon",""),IF('Roulement V2'!Q45="IEG","Doublon · Beaune",""),IF('Roulement V2'!R45="IEG","Doublon · Dijon",""))</f>
        <v>Doublon · Beaune</v>
      </c>
    </row>
    <row r="11" ht="13.55" customHeight="1">
      <c r="A11" t="s" s="30">
        <v>44</v>
      </c>
      <c r="B11" t="str" s="2" cm="1">
        <f t="array" ref="B11">_xlfn.TEXTJOIN(" + ",TRUE,IF('Roulement V2'!C46="IEG","Garde · Beaune",""),IF('Roulement V2'!D46="IEG","Garde · Dijon",""),IF('Roulement V2'!C47="IEG","Doublon · Beaune",""),IF('Roulement V2'!D47="IEG","Doublon · Dijon",""))</f>
      </c>
      <c r="C11" t="str" s="2" cm="1">
        <f t="array" ref="C11">_xlfn.TEXTJOIN(" + ",TRUE,IF('Roulement V2'!E46="IEG","Garde · Beaune",""),IF('Roulement V2'!F46="IEG","Garde · Dijon",""),IF('Roulement V2'!E47="IEG","Doublon · Beaune",""),IF('Roulement V2'!F47="IEG","Doublon · Dijon",""))</f>
      </c>
      <c r="D11" t="str" s="2" cm="1">
        <f t="array" ref="D11">_xlfn.TEXTJOIN(" + ",TRUE,IF('Roulement V2'!G46="IEG","Garde · Beaune",""),IF('Roulement V2'!H46="IEG","Garde · Dijon",""),IF('Roulement V2'!G47="IEG","Doublon · Beaune",""),IF('Roulement V2'!H47="IEG","Doublon · Dijon",""))</f>
      </c>
      <c r="E11" t="str" s="2" cm="1">
        <f t="array" ref="E11">_xlfn.TEXTJOIN(" + ",TRUE,IF('Roulement V2'!I46="IEG","Garde · Beaune",""),IF('Roulement V2'!J46="IEG","Garde · Dijon",""),IF('Roulement V2'!I47="IEG","Doublon · Beaune",""),IF('Roulement V2'!J47="IEG","Doublon · Dijon",""))</f>
        <v>Garde · Beaune</v>
      </c>
      <c r="F11" t="str" s="2" cm="1">
        <f t="array" ref="F11">_xlfn.TEXTJOIN(" + ",TRUE,IF('Roulement V2'!K46="IEG","Garde · Beaune",""),IF('Roulement V2'!L46="IEG","Garde · Dijon",""),IF('Roulement V2'!K47="IEG","Doublon · Beaune",""),IF('Roulement V2'!L47="IEG","Doublon · Dijon",""))</f>
      </c>
      <c r="G11" t="str" s="2" cm="1">
        <f t="array" ref="G11">_xlfn.TEXTJOIN(" + ",TRUE,IF('Roulement V2'!M46="IEG","Garde · Beaune",""),IF('Roulement V2'!N46="IEG","Garde · Dijon",""),IF('Roulement V2'!M47="IEG","Doublon · Beaune",""),IF('Roulement V2'!N47="IEG","Doublon · Dijon",""))</f>
      </c>
      <c r="H11" t="str" s="2" cm="1">
        <f t="array" ref="H11">_xlfn.TEXTJOIN(" + ",TRUE,IF('Roulement V2'!O46="IEG","Garde · Beaune",""),IF('Roulement V2'!P46="IEG","Garde · Dijon",""),IF('Roulement V2'!O47="IEG","Doublon · Beaune",""),IF('Roulement V2'!P47="IEG","Doublon · Dijon",""))</f>
      </c>
      <c r="I11" t="str" s="2" cm="1">
        <f t="array" ref="I11">_xlfn.TEXTJOIN(" + ",TRUE,IF('Roulement V2'!Q46="IEG","Garde · Beaune",""),IF('Roulement V2'!R46="IEG","Garde · Dijon",""),IF('Roulement V2'!Q47="IEG","Doublon · Beaune",""),IF('Roulement V2'!R47="IEG","Doublon · Dijon",""))</f>
        <v>Doublon · Beaune</v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6</v>
      </c>
      <c r="C15" s="2"/>
      <c r="D15" t="s" s="30">
        <v>64</v>
      </c>
      <c r="E15" s="31" cm="1">
        <f t="array" ref="E15">COUNTIF(B5:I9,"*Beaune*")</f>
        <v>26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0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12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26</v>
      </c>
      <c r="C18" s="2"/>
      <c r="D18" t="s" s="30">
        <v>69</v>
      </c>
      <c r="E18" s="31" cm="1">
        <f t="array" ref="E18">COUNTIF(B10:I11,"*Garde*")</f>
        <v>2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3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1" customWidth="1"/>
    <col min="2" max="9" width="18" style="41" customWidth="1"/>
    <col min="10" max="16384" width="6.67188" style="41" customWidth="1"/>
  </cols>
  <sheetData>
    <row r="1" ht="15.35" customHeight="1">
      <c r="A1" t="s" s="21">
        <v>78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V2'!C4="LD","J1 · 8h-16h · Beaune",""),IF('Roulement V2'!D4="LD","J1 · 8h-16h · Dijon",""),IF('Roulement V2'!C5="LD","J2 · 14h-22h · Beaune",""),IF('Roulement V2'!D5="LD","J2 · 14h-22h · Dijon",""),IF('Roulement V2'!C6="LD","journée · 8h-18h30 · Beaune",""),IF('Roulement V2'!D6="LD","journée · 8h-18h30 · Dijon",""),IF('Roulement V2'!C7="LD","journée · 8h-18h30 · Beaune",""),IF('Roulement V2'!D7="LD","journée · 8h-18h30 · Dijon",""),IF('Roulement V2'!C8="LD","J5 · 12h-20h · Beaune",""),IF('Roulement V2'!D8="LD","J5 · 12h-20h · Dijon",""),IF('Roulement V2'!C9="LD","préJ2/J6 · 8h-14h · Beaune",""),IF('Roulement V2'!D9="LD","préJ2/J6 · 8h-14h · Dijon",""),IF('Roulement V2'!C10="LD","journée · 8h-18h30 · Beaune",""),IF('Roulement V2'!D10="LD","journée · 8h-18h30 · Dijon",""),IF('Roulement V2'!C11="LD","journée · 8h-18h30 · Beaune",""),IF('Roulement V2'!D11="LD","journée · 8h-18h30 · Dijon",""))</f>
        <v>journée · 8h-18h30 · Dijon</v>
      </c>
      <c r="C5" t="str" s="2" cm="1">
        <f t="array" ref="C5">_xlfn.TEXTJOIN(" + ",TRUE,IF('Roulement V2'!E4="LD","J1 · 8h-16h · Beaune",""),IF('Roulement V2'!F4="LD","J1 · 8h-16h · Dijon",""),IF('Roulement V2'!E5="LD","J2 · 14h-22h · Beaune",""),IF('Roulement V2'!F5="LD","J2 · 14h-22h · Dijon",""),IF('Roulement V2'!E6="LD","journée · 8h-18h30 · Beaune",""),IF('Roulement V2'!F6="LD","journée · 8h-18h30 · Dijon",""),IF('Roulement V2'!E7="LD","journée · 8h-18h30 · Beaune",""),IF('Roulement V2'!F7="LD","journée · 8h-18h30 · Dijon",""),IF('Roulement V2'!E8="LD","J5 · 12h-20h · Beaune",""),IF('Roulement V2'!F8="LD","J5 · 12h-20h · Dijon",""),IF('Roulement V2'!E9="LD","préJ2/J6 · 8h-14h · Beaune",""),IF('Roulement V2'!F9="LD","préJ2/J6 · 8h-14h · Dijon",""),IF('Roulement V2'!E10="LD","journée · 8h-18h30 · Beaune",""),IF('Roulement V2'!F10="LD","journée · 8h-18h30 · Dijon",""),IF('Roulement V2'!E11="LD","journée · 8h-18h30 · Beaune",""),IF('Roulement V2'!F11="LD","journée · 8h-18h30 · Dijon",""))</f>
        <v>journée · 8h-18h30 · Dijon</v>
      </c>
      <c r="D5" t="str" s="2" cm="1">
        <f t="array" ref="D5">_xlfn.TEXTJOIN(" + ",TRUE,IF('Roulement V2'!G4="LD","J1 · 8h-16h · Beaune",""),IF('Roulement V2'!H4="LD","J1 · 8h-16h · Dijon",""),IF('Roulement V2'!G5="LD","J2 · 14h-22h · Beaune",""),IF('Roulement V2'!H5="LD","J2 · 14h-22h · Dijon",""),IF('Roulement V2'!G6="LD","journée · 8h-18h30 · Beaune",""),IF('Roulement V2'!H6="LD","journée · 8h-18h30 · Dijon",""),IF('Roulement V2'!G7="LD","journée · 8h-18h30 · Beaune",""),IF('Roulement V2'!H7="LD","journée · 8h-18h30 · Dijon",""),IF('Roulement V2'!G8="LD","J5 · 12h-20h · Beaune",""),IF('Roulement V2'!H8="LD","J5 · 12h-20h · Dijon",""),IF('Roulement V2'!G9="LD","préJ2/J6 · 8h-14h · Beaune",""),IF('Roulement V2'!H9="LD","préJ2/J6 · 8h-14h · Dijon",""),IF('Roulement V2'!G10="LD","journée · 8h-18h30 · Beaune",""),IF('Roulement V2'!H10="LD","journée · 8h-18h30 · Dijon",""),IF('Roulement V2'!G11="LD","journée · 8h-18h30 · Beaune",""),IF('Roulement V2'!H11="LD","journée · 8h-18h30 · Dijon",""))</f>
      </c>
      <c r="E5" t="str" s="2" cm="1">
        <f t="array" ref="E5">_xlfn.TEXTJOIN(" + ",TRUE,IF('Roulement V2'!I4="LD","J1 · 8h-16h · Beaune",""),IF('Roulement V2'!J4="LD","J1 · 8h-16h · Dijon",""),IF('Roulement V2'!I5="LD","J2 · 14h-22h · Beaune",""),IF('Roulement V2'!J5="LD","J2 · 14h-22h · Dijon",""),IF('Roulement V2'!I6="LD","journée · 8h-18h30 · Beaune",""),IF('Roulement V2'!J6="LD","journée · 8h-18h30 · Dijon",""),IF('Roulement V2'!I7="LD","journée · 8h-18h30 · Beaune",""),IF('Roulement V2'!J7="LD","journée · 8h-18h30 · Dijon",""),IF('Roulement V2'!I8="LD","J5 · 12h-20h · Beaune",""),IF('Roulement V2'!J8="LD","J5 · 12h-20h · Dijon",""),IF('Roulement V2'!I9="LD","préJ2/J6 · 8h-14h · Beaune",""),IF('Roulement V2'!J9="LD","préJ2/J6 · 8h-14h · Dijon",""),IF('Roulement V2'!I10="LD","journée · 8h-18h30 · Beaune",""),IF('Roulement V2'!J10="LD","journée · 8h-18h30 · Dijon",""),IF('Roulement V2'!I11="LD","journée · 8h-18h30 · Beaune",""),IF('Roulement V2'!J11="LD","journée · 8h-18h30 · Dijon",""))</f>
        <v>journée · 8h-18h30 · Dijon</v>
      </c>
      <c r="F5" t="str" s="2" cm="1">
        <f t="array" ref="F5">_xlfn.TEXTJOIN(" + ",TRUE,IF('Roulement V2'!K4="LD","J1 · 8h-16h · Beaune",""),IF('Roulement V2'!L4="LD","J1 · 8h-16h · Dijon",""),IF('Roulement V2'!K5="LD","J2 · 14h-22h · Beaune",""),IF('Roulement V2'!L5="LD","J2 · 14h-22h · Dijon",""),IF('Roulement V2'!K6="LD","journée · 8h-18h30 · Beaune",""),IF('Roulement V2'!L6="LD","journée · 8h-18h30 · Dijon",""),IF('Roulement V2'!K7="LD","journée · 8h-18h30 · Beaune",""),IF('Roulement V2'!L7="LD","journée · 8h-18h30 · Dijon",""),IF('Roulement V2'!K8="LD","J5 · 12h-20h · Beaune",""),IF('Roulement V2'!L8="LD","J5 · 12h-20h · Dijon",""),IF('Roulement V2'!K9="LD","préJ2/J6 · 8h-14h · Beaune",""),IF('Roulement V2'!L9="LD","préJ2/J6 · 8h-14h · Dijon",""),IF('Roulement V2'!K10="LD","journée · 8h-18h30 · Beaune",""),IF('Roulement V2'!L10="LD","journée · 8h-18h30 · Dijon",""),IF('Roulement V2'!K11="LD","journée · 8h-18h30 · Beaune",""),IF('Roulement V2'!L11="LD","journée · 8h-18h30 · Dijon",""))</f>
      </c>
      <c r="G5" t="str" s="2" cm="1">
        <f t="array" ref="G5">_xlfn.TEXTJOIN(" + ",TRUE,IF('Roulement V2'!M4="LD","J1 · 8h-16h · Beaune",""),IF('Roulement V2'!N4="LD","J1 · 8h-16h · Dijon",""),IF('Roulement V2'!M5="LD","J2 · 14h-22h · Beaune",""),IF('Roulement V2'!N5="LD","J2 · 14h-22h · Dijon",""),IF('Roulement V2'!M6="LD","journée · 8h-18h30 · Beaune",""),IF('Roulement V2'!N6="LD","journée · 8h-18h30 · Dijon",""),IF('Roulement V2'!M7="LD","journée · 8h-18h30 · Beaune",""),IF('Roulement V2'!N7="LD","journée · 8h-18h30 · Dijon",""),IF('Roulement V2'!M8="LD","J5 · 12h-20h · Beaune",""),IF('Roulement V2'!N8="LD","J5 · 12h-20h · Dijon",""),IF('Roulement V2'!M9="LD","préJ2/J6 · 8h-14h · Beaune",""),IF('Roulement V2'!N9="LD","préJ2/J6 · 8h-14h · Dijon",""),IF('Roulement V2'!M10="LD","journée · 8h-18h30 · Beaune",""),IF('Roulement V2'!N10="LD","journée · 8h-18h30 · Dijon",""),IF('Roulement V2'!M11="LD","journée · 8h-18h30 · Beaune",""),IF('Roulement V2'!N11="LD","journée · 8h-18h30 · Dijon",""))</f>
        <v>journée · 8h-18h30 · Dijon</v>
      </c>
      <c r="H5" t="str" s="2" cm="1">
        <f t="array" ref="H5">_xlfn.TEXTJOIN(" + ",TRUE,IF('Roulement V2'!O4="LD","J1 · 8h-16h · Beaune",""),IF('Roulement V2'!P4="LD","J1 · 8h-16h · Dijon",""),IF('Roulement V2'!O5="LD","J2 · 14h-22h · Beaune",""),IF('Roulement V2'!P5="LD","J2 · 14h-22h · Dijon",""),IF('Roulement V2'!O6="LD","journée · 8h-18h30 · Beaune",""),IF('Roulement V2'!P6="LD","journée · 8h-18h30 · Dijon",""),IF('Roulement V2'!O7="LD","journée · 8h-18h30 · Beaune",""),IF('Roulement V2'!P7="LD","journée · 8h-18h30 · Dijon",""),IF('Roulement V2'!O8="LD","J5 · 12h-20h · Beaune",""),IF('Roulement V2'!P8="LD","J5 · 12h-20h · Dijon",""),IF('Roulement V2'!O9="LD","préJ2/J6 · 8h-14h · Beaune",""),IF('Roulement V2'!P9="LD","préJ2/J6 · 8h-14h · Dijon",""),IF('Roulement V2'!O10="LD","journée · 8h-18h30 · Beaune",""),IF('Roulement V2'!P10="LD","journée · 8h-18h30 · Dijon",""),IF('Roulement V2'!O11="LD","journée · 8h-18h30 · Beaune",""),IF('Roulement V2'!P11="LD","journée · 8h-18h30 · Dijon",""))</f>
      </c>
      <c r="I5" t="str" s="2" cm="1">
        <f t="array" ref="I5">_xlfn.TEXTJOIN(" + ",TRUE,IF('Roulement V2'!Q4="LD","J1 · 8h-16h · Beaune",""),IF('Roulement V2'!R4="LD","J1 · 8h-16h · Dijon",""),IF('Roulement V2'!Q5="LD","J2 · 14h-22h · Beaune",""),IF('Roulement V2'!R5="LD","J2 · 14h-22h · Dijon",""),IF('Roulement V2'!Q6="LD","journée · 8h-18h30 · Beaune",""),IF('Roulement V2'!R6="LD","journée · 8h-18h30 · Dijon",""),IF('Roulement V2'!Q7="LD","journée · 8h-18h30 · Beaune",""),IF('Roulement V2'!R7="LD","journée · 8h-18h30 · Dijon",""),IF('Roulement V2'!Q8="LD","J5 · 12h-20h · Beaune",""),IF('Roulement V2'!R8="LD","J5 · 12h-20h · Dijon",""),IF('Roulement V2'!Q9="LD","préJ2/J6 · 8h-14h · Beaune",""),IF('Roulement V2'!R9="LD","préJ2/J6 · 8h-14h · Dijon",""),IF('Roulement V2'!Q10="LD","journée · 8h-18h30 · Beaune",""),IF('Roulement V2'!R10="LD","journée · 8h-18h30 · Dijon",""),IF('Roulement V2'!Q11="LD","journée · 8h-18h30 · Beaune",""),IF('Roulement V2'!R11="LD","journée · 8h-18h30 · Dijon",""))</f>
        <v>journée · 8h-18h30 · Dijon</v>
      </c>
    </row>
    <row r="6" ht="13.55" customHeight="1">
      <c r="A6" t="s" s="30">
        <v>37</v>
      </c>
      <c r="B6" t="str" s="2" cm="1">
        <f t="array" ref="B6">_xlfn.TEXTJOIN(" + ",TRUE,IF('Roulement V2'!C12="LD","J1 · 8h-16h · Beaune",""),IF('Roulement V2'!D12="LD","J1 · 8h-16h · Dijon",""),IF('Roulement V2'!C13="LD","J2 · 14h-22h · Beaune",""),IF('Roulement V2'!D13="LD","J2 · 14h-22h · Dijon",""),IF('Roulement V2'!C14="LD","journée · 8h-18h30 · Beaune",""),IF('Roulement V2'!D14="LD","journée · 8h-18h30 · Dijon",""),IF('Roulement V2'!C15="LD","journée · 8h-18h30 · Beaune",""),IF('Roulement V2'!D15="LD","journée · 8h-18h30 · Dijon",""),IF('Roulement V2'!C16="LD","J5 · 12h-20h · Beaune",""),IF('Roulement V2'!D16="LD","J5 · 12h-20h · Dijon",""),IF('Roulement V2'!C17="LD","préJ2/J6 · 8h-14h · Beaune",""),IF('Roulement V2'!D17="LD","préJ2/J6 · 8h-14h · Dijon",""),IF('Roulement V2'!C18="LD","journée · 8h-18h30 · Beaune",""),IF('Roulement V2'!D18="LD","journée · 8h-18h30 · Dijon",""),IF('Roulement V2'!C19="LD","journée · 8h-18h30 · Beaune",""),IF('Roulement V2'!D19="LD","journée · 8h-18h30 · Dijon",""))</f>
        <v>J2 · 14h-22h · Beaune</v>
      </c>
      <c r="C6" t="str" s="2" cm="1">
        <f t="array" ref="C6">_xlfn.TEXTJOIN(" + ",TRUE,IF('Roulement V2'!E12="LD","J1 · 8h-16h · Beaune",""),IF('Roulement V2'!F12="LD","J1 · 8h-16h · Dijon",""),IF('Roulement V2'!E13="LD","J2 · 14h-22h · Beaune",""),IF('Roulement V2'!F13="LD","J2 · 14h-22h · Dijon",""),IF('Roulement V2'!E14="LD","journée · 8h-18h30 · Beaune",""),IF('Roulement V2'!F14="LD","journée · 8h-18h30 · Dijon",""),IF('Roulement V2'!E15="LD","journée · 8h-18h30 · Beaune",""),IF('Roulement V2'!F15="LD","journée · 8h-18h30 · Dijon",""),IF('Roulement V2'!E16="LD","J5 · 12h-20h · Beaune",""),IF('Roulement V2'!F16="LD","J5 · 12h-20h · Dijon",""),IF('Roulement V2'!E17="LD","préJ2/J6 · 8h-14h · Beaune",""),IF('Roulement V2'!F17="LD","préJ2/J6 · 8h-14h · Dijon",""),IF('Roulement V2'!E18="LD","journée · 8h-18h30 · Beaune",""),IF('Roulement V2'!F18="LD","journée · 8h-18h30 · Dijon",""),IF('Roulement V2'!E19="LD","journée · 8h-18h30 · Beaune",""),IF('Roulement V2'!F19="LD","journée · 8h-18h30 · Dijon",""))</f>
        <v>journée · 8h-18h30 · Dijon</v>
      </c>
      <c r="D6" t="str" s="2" cm="1">
        <f t="array" ref="D6">_xlfn.TEXTJOIN(" + ",TRUE,IF('Roulement V2'!G12="LD","J1 · 8h-16h · Beaune",""),IF('Roulement V2'!H12="LD","J1 · 8h-16h · Dijon",""),IF('Roulement V2'!G13="LD","J2 · 14h-22h · Beaune",""),IF('Roulement V2'!H13="LD","J2 · 14h-22h · Dijon",""),IF('Roulement V2'!G14="LD","journée · 8h-18h30 · Beaune",""),IF('Roulement V2'!H14="LD","journée · 8h-18h30 · Dijon",""),IF('Roulement V2'!G15="LD","journée · 8h-18h30 · Beaune",""),IF('Roulement V2'!H15="LD","journée · 8h-18h30 · Dijon",""),IF('Roulement V2'!G16="LD","J5 · 12h-20h · Beaune",""),IF('Roulement V2'!H16="LD","J5 · 12h-20h · Dijon",""),IF('Roulement V2'!G17="LD","préJ2/J6 · 8h-14h · Beaune",""),IF('Roulement V2'!H17="LD","préJ2/J6 · 8h-14h · Dijon",""),IF('Roulement V2'!G18="LD","journée · 8h-18h30 · Beaune",""),IF('Roulement V2'!H18="LD","journée · 8h-18h30 · Dijon",""),IF('Roulement V2'!G19="LD","journée · 8h-18h30 · Beaune",""),IF('Roulement V2'!H19="LD","journée · 8h-18h30 · Dijon",""))</f>
        <v>journée · 8h-18h30 · Dijon</v>
      </c>
      <c r="E6" t="str" s="2" cm="1">
        <f t="array" ref="E6">_xlfn.TEXTJOIN(" + ",TRUE,IF('Roulement V2'!I12="LD","J1 · 8h-16h · Beaune",""),IF('Roulement V2'!J12="LD","J1 · 8h-16h · Dijon",""),IF('Roulement V2'!I13="LD","J2 · 14h-22h · Beaune",""),IF('Roulement V2'!J13="LD","J2 · 14h-22h · Dijon",""),IF('Roulement V2'!I14="LD","journée · 8h-18h30 · Beaune",""),IF('Roulement V2'!J14="LD","journée · 8h-18h30 · Dijon",""),IF('Roulement V2'!I15="LD","journée · 8h-18h30 · Beaune",""),IF('Roulement V2'!J15="LD","journée · 8h-18h30 · Dijon",""),IF('Roulement V2'!I16="LD","J5 · 12h-20h · Beaune",""),IF('Roulement V2'!J16="LD","J5 · 12h-20h · Dijon",""),IF('Roulement V2'!I17="LD","préJ2/J6 · 8h-14h · Beaune",""),IF('Roulement V2'!J17="LD","préJ2/J6 · 8h-14h · Dijon",""),IF('Roulement V2'!I18="LD","journée · 8h-18h30 · Beaune",""),IF('Roulement V2'!J18="LD","journée · 8h-18h30 · Dijon",""),IF('Roulement V2'!I19="LD","journée · 8h-18h30 · Beaune",""),IF('Roulement V2'!J19="LD","journée · 8h-18h30 · Dijon",""))</f>
        <v>journée · 8h-18h30 · Dijon</v>
      </c>
      <c r="F6" t="str" s="2" cm="1">
        <f t="array" ref="F6">_xlfn.TEXTJOIN(" + ",TRUE,IF('Roulement V2'!K12="LD","J1 · 8h-16h · Beaune",""),IF('Roulement V2'!L12="LD","J1 · 8h-16h · Dijon",""),IF('Roulement V2'!K13="LD","J2 · 14h-22h · Beaune",""),IF('Roulement V2'!L13="LD","J2 · 14h-22h · Dijon",""),IF('Roulement V2'!K14="LD","journée · 8h-18h30 · Beaune",""),IF('Roulement V2'!L14="LD","journée · 8h-18h30 · Dijon",""),IF('Roulement V2'!K15="LD","journée · 8h-18h30 · Beaune",""),IF('Roulement V2'!L15="LD","journée · 8h-18h30 · Dijon",""),IF('Roulement V2'!K16="LD","J5 · 12h-20h · Beaune",""),IF('Roulement V2'!L16="LD","J5 · 12h-20h · Dijon",""),IF('Roulement V2'!K17="LD","préJ2/J6 · 8h-14h · Beaune",""),IF('Roulement V2'!L17="LD","préJ2/J6 · 8h-14h · Dijon",""),IF('Roulement V2'!K18="LD","journée · 8h-18h30 · Beaune",""),IF('Roulement V2'!L18="LD","journée · 8h-18h30 · Dijon",""),IF('Roulement V2'!K19="LD","journée · 8h-18h30 · Beaune",""),IF('Roulement V2'!L19="LD","journée · 8h-18h30 · Dijon",""))</f>
      </c>
      <c r="G6" t="str" s="2" cm="1">
        <f t="array" ref="G6">_xlfn.TEXTJOIN(" + ",TRUE,IF('Roulement V2'!M12="LD","J1 · 8h-16h · Beaune",""),IF('Roulement V2'!N12="LD","J1 · 8h-16h · Dijon",""),IF('Roulement V2'!M13="LD","J2 · 14h-22h · Beaune",""),IF('Roulement V2'!N13="LD","J2 · 14h-22h · Dijon",""),IF('Roulement V2'!M14="LD","journée · 8h-18h30 · Beaune",""),IF('Roulement V2'!N14="LD","journée · 8h-18h30 · Dijon",""),IF('Roulement V2'!M15="LD","journée · 8h-18h30 · Beaune",""),IF('Roulement V2'!N15="LD","journée · 8h-18h30 · Dijon",""),IF('Roulement V2'!M16="LD","J5 · 12h-20h · Beaune",""),IF('Roulement V2'!N16="LD","J5 · 12h-20h · Dijon",""),IF('Roulement V2'!M17="LD","préJ2/J6 · 8h-14h · Beaune",""),IF('Roulement V2'!N17="LD","préJ2/J6 · 8h-14h · Dijon",""),IF('Roulement V2'!M18="LD","journée · 8h-18h30 · Beaune",""),IF('Roulement V2'!N18="LD","journée · 8h-18h30 · Dijon",""),IF('Roulement V2'!M19="LD","journée · 8h-18h30 · Beaune",""),IF('Roulement V2'!N19="LD","journée · 8h-18h30 · Dijon",""))</f>
        <v>journée · 8h-18h30 · Dijon</v>
      </c>
      <c r="H6" t="str" s="2" cm="1">
        <f t="array" ref="H6">_xlfn.TEXTJOIN(" + ",TRUE,IF('Roulement V2'!O12="LD","J1 · 8h-16h · Beaune",""),IF('Roulement V2'!P12="LD","J1 · 8h-16h · Dijon",""),IF('Roulement V2'!O13="LD","J2 · 14h-22h · Beaune",""),IF('Roulement V2'!P13="LD","J2 · 14h-22h · Dijon",""),IF('Roulement V2'!O14="LD","journée · 8h-18h30 · Beaune",""),IF('Roulement V2'!P14="LD","journée · 8h-18h30 · Dijon",""),IF('Roulement V2'!O15="LD","journée · 8h-18h30 · Beaune",""),IF('Roulement V2'!P15="LD","journée · 8h-18h30 · Dijon",""),IF('Roulement V2'!O16="LD","J5 · 12h-20h · Beaune",""),IF('Roulement V2'!P16="LD","J5 · 12h-20h · Dijon",""),IF('Roulement V2'!O17="LD","préJ2/J6 · 8h-14h · Beaune",""),IF('Roulement V2'!P17="LD","préJ2/J6 · 8h-14h · Dijon",""),IF('Roulement V2'!O18="LD","journée · 8h-18h30 · Beaune",""),IF('Roulement V2'!P18="LD","journée · 8h-18h30 · Dijon",""),IF('Roulement V2'!O19="LD","journée · 8h-18h30 · Beaune",""),IF('Roulement V2'!P19="LD","journée · 8h-18h30 · Dijon",""))</f>
        <v>journée · 8h-18h30 · Dijon</v>
      </c>
      <c r="I6" t="str" s="2" cm="1">
        <f t="array" ref="I6">_xlfn.TEXTJOIN(" + ",TRUE,IF('Roulement V2'!Q12="LD","J1 · 8h-16h · Beaune",""),IF('Roulement V2'!R12="LD","J1 · 8h-16h · Dijon",""),IF('Roulement V2'!Q13="LD","J2 · 14h-22h · Beaune",""),IF('Roulement V2'!R13="LD","J2 · 14h-22h · Dijon",""),IF('Roulement V2'!Q14="LD","journée · 8h-18h30 · Beaune",""),IF('Roulement V2'!R14="LD","journée · 8h-18h30 · Dijon",""),IF('Roulement V2'!Q15="LD","journée · 8h-18h30 · Beaune",""),IF('Roulement V2'!R15="LD","journée · 8h-18h30 · Dijon",""),IF('Roulement V2'!Q16="LD","J5 · 12h-20h · Beaune",""),IF('Roulement V2'!R16="LD","J5 · 12h-20h · Dijon",""),IF('Roulement V2'!Q17="LD","préJ2/J6 · 8h-14h · Beaune",""),IF('Roulement V2'!R17="LD","préJ2/J6 · 8h-14h · Dijon",""),IF('Roulement V2'!Q18="LD","journée · 8h-18h30 · Beaune",""),IF('Roulement V2'!R18="LD","journée · 8h-18h30 · Dijon",""),IF('Roulement V2'!Q19="LD","journée · 8h-18h30 · Beaune",""),IF('Roulement V2'!R19="LD","journée · 8h-18h30 · Dijon",""))</f>
        <v>journée · 8h-18h30 · Dijon</v>
      </c>
    </row>
    <row r="7" ht="13.55" customHeight="1">
      <c r="A7" t="s" s="30">
        <v>38</v>
      </c>
      <c r="B7" t="str" s="2" cm="1">
        <f t="array" ref="B7">_xlfn.TEXTJOIN(" + ",TRUE,IF('Roulement V2'!C20="LD","J1 · 8h-16h · Beaune",""),IF('Roulement V2'!D20="LD","J1 · 8h-16h · Dijon",""),IF('Roulement V2'!C21="LD","J2 · 14h-22h · Beaune",""),IF('Roulement V2'!D21="LD","J2 · 14h-22h · Dijon",""),IF('Roulement V2'!C22="LD","journée · 8h-18h30 · Beaune",""),IF('Roulement V2'!D22="LD","journée · 8h-18h30 · Dijon",""),IF('Roulement V2'!C23="LD","journée · 8h-18h30 · Beaune",""),IF('Roulement V2'!D23="LD","journée · 8h-18h30 · Dijon",""),IF('Roulement V2'!C24="LD","J5 · 12h-20h · Beaune",""),IF('Roulement V2'!D24="LD","J5 · 12h-20h · Dijon",""),IF('Roulement V2'!C25="LD","préJ2/J6 · 8h-14h · Beaune",""),IF('Roulement V2'!D25="LD","préJ2/J6 · 8h-14h · Dijon",""),IF('Roulement V2'!C26="LD","journée · 8h-18h30 · Beaune",""),IF('Roulement V2'!D26="LD","journée · 8h-18h30 · Dijon",""),IF('Roulement V2'!C27="LD","journée · 8h-18h30 · Beaune",""),IF('Roulement V2'!D27="LD","journée · 8h-18h30 · Dijon",""))</f>
      </c>
      <c r="C7" t="str" s="2" cm="1">
        <f t="array" ref="C7">_xlfn.TEXTJOIN(" + ",TRUE,IF('Roulement V2'!E20="LD","J1 · 8h-16h · Beaune",""),IF('Roulement V2'!F20="LD","J1 · 8h-16h · Dijon",""),IF('Roulement V2'!E21="LD","J2 · 14h-22h · Beaune",""),IF('Roulement V2'!F21="LD","J2 · 14h-22h · Dijon",""),IF('Roulement V2'!E22="LD","journée · 8h-18h30 · Beaune",""),IF('Roulement V2'!F22="LD","journée · 8h-18h30 · Dijon",""),IF('Roulement V2'!E23="LD","journée · 8h-18h30 · Beaune",""),IF('Roulement V2'!F23="LD","journée · 8h-18h30 · Dijon",""),IF('Roulement V2'!E24="LD","J5 · 12h-20h · Beaune",""),IF('Roulement V2'!F24="LD","J5 · 12h-20h · Dijon",""),IF('Roulement V2'!E25="LD","préJ2/J6 · 8h-14h · Beaune",""),IF('Roulement V2'!F25="LD","préJ2/J6 · 8h-14h · Dijon",""),IF('Roulement V2'!E26="LD","journée · 8h-18h30 · Beaune",""),IF('Roulement V2'!F26="LD","journée · 8h-18h30 · Dijon",""),IF('Roulement V2'!E27="LD","journée · 8h-18h30 · Beaune",""),IF('Roulement V2'!F27="LD","journée · 8h-18h30 · Dijon",""))</f>
      </c>
      <c r="D7" t="str" s="2" cm="1">
        <f t="array" ref="D7">_xlfn.TEXTJOIN(" + ",TRUE,IF('Roulement V2'!G20="LD","J1 · 8h-16h · Beaune",""),IF('Roulement V2'!H20="LD","J1 · 8h-16h · Dijon",""),IF('Roulement V2'!G21="LD","J2 · 14h-22h · Beaune",""),IF('Roulement V2'!H21="LD","J2 · 14h-22h · Dijon",""),IF('Roulement V2'!G22="LD","journée · 8h-18h30 · Beaune",""),IF('Roulement V2'!H22="LD","journée · 8h-18h30 · Dijon",""),IF('Roulement V2'!G23="LD","journée · 8h-18h30 · Beaune",""),IF('Roulement V2'!H23="LD","journée · 8h-18h30 · Dijon",""),IF('Roulement V2'!G24="LD","J5 · 12h-20h · Beaune",""),IF('Roulement V2'!H24="LD","J5 · 12h-20h · Dijon",""),IF('Roulement V2'!G25="LD","préJ2/J6 · 8h-14h · Beaune",""),IF('Roulement V2'!H25="LD","préJ2/J6 · 8h-14h · Dijon",""),IF('Roulement V2'!G26="LD","journée · 8h-18h30 · Beaune",""),IF('Roulement V2'!H26="LD","journée · 8h-18h30 · Dijon",""),IF('Roulement V2'!G27="LD","journée · 8h-18h30 · Beaune",""),IF('Roulement V2'!H27="LD","journée · 8h-18h30 · Dijon",""))</f>
      </c>
      <c r="E7" t="str" s="2" cm="1">
        <f t="array" ref="E7">_xlfn.TEXTJOIN(" + ",TRUE,IF('Roulement V2'!I20="LD","J1 · 8h-16h · Beaune",""),IF('Roulement V2'!J20="LD","J1 · 8h-16h · Dijon",""),IF('Roulement V2'!I21="LD","J2 · 14h-22h · Beaune",""),IF('Roulement V2'!J21="LD","J2 · 14h-22h · Dijon",""),IF('Roulement V2'!I22="LD","journée · 8h-18h30 · Beaune",""),IF('Roulement V2'!J22="LD","journée · 8h-18h30 · Dijon",""),IF('Roulement V2'!I23="LD","journée · 8h-18h30 · Beaune",""),IF('Roulement V2'!J23="LD","journée · 8h-18h30 · Dijon",""),IF('Roulement V2'!I24="LD","J5 · 12h-20h · Beaune",""),IF('Roulement V2'!J24="LD","J5 · 12h-20h · Dijon",""),IF('Roulement V2'!I25="LD","préJ2/J6 · 8h-14h · Beaune",""),IF('Roulement V2'!J25="LD","préJ2/J6 · 8h-14h · Dijon",""),IF('Roulement V2'!I26="LD","journée · 8h-18h30 · Beaune",""),IF('Roulement V2'!J26="LD","journée · 8h-18h30 · Dijon",""),IF('Roulement V2'!I27="LD","journée · 8h-18h30 · Beaune",""),IF('Roulement V2'!J27="LD","journée · 8h-18h30 · Dijon",""))</f>
      </c>
      <c r="F7" t="str" s="2" cm="1">
        <f t="array" ref="F7">_xlfn.TEXTJOIN(" + ",TRUE,IF('Roulement V2'!K20="LD","J1 · 8h-16h · Beaune",""),IF('Roulement V2'!L20="LD","J1 · 8h-16h · Dijon",""),IF('Roulement V2'!K21="LD","J2 · 14h-22h · Beaune",""),IF('Roulement V2'!L21="LD","J2 · 14h-22h · Dijon",""),IF('Roulement V2'!K22="LD","journée · 8h-18h30 · Beaune",""),IF('Roulement V2'!L22="LD","journée · 8h-18h30 · Dijon",""),IF('Roulement V2'!K23="LD","journée · 8h-18h30 · Beaune",""),IF('Roulement V2'!L23="LD","journée · 8h-18h30 · Dijon",""),IF('Roulement V2'!K24="LD","J5 · 12h-20h · Beaune",""),IF('Roulement V2'!L24="LD","J5 · 12h-20h · Dijon",""),IF('Roulement V2'!K25="LD","préJ2/J6 · 8h-14h · Beaune",""),IF('Roulement V2'!L25="LD","préJ2/J6 · 8h-14h · Dijon",""),IF('Roulement V2'!K26="LD","journée · 8h-18h30 · Beaune",""),IF('Roulement V2'!L26="LD","journée · 8h-18h30 · Dijon",""),IF('Roulement V2'!K27="LD","journée · 8h-18h30 · Beaune",""),IF('Roulement V2'!L27="LD","journée · 8h-18h30 · Dijon",""))</f>
      </c>
      <c r="G7" t="str" s="2" cm="1">
        <f t="array" ref="G7">_xlfn.TEXTJOIN(" + ",TRUE,IF('Roulement V2'!M20="LD","J1 · 8h-16h · Beaune",""),IF('Roulement V2'!N20="LD","J1 · 8h-16h · Dijon",""),IF('Roulement V2'!M21="LD","J2 · 14h-22h · Beaune",""),IF('Roulement V2'!N21="LD","J2 · 14h-22h · Dijon",""),IF('Roulement V2'!M22="LD","journée · 8h-18h30 · Beaune",""),IF('Roulement V2'!N22="LD","journée · 8h-18h30 · Dijon",""),IF('Roulement V2'!M23="LD","journée · 8h-18h30 · Beaune",""),IF('Roulement V2'!N23="LD","journée · 8h-18h30 · Dijon",""),IF('Roulement V2'!M24="LD","J5 · 12h-20h · Beaune",""),IF('Roulement V2'!N24="LD","J5 · 12h-20h · Dijon",""),IF('Roulement V2'!M25="LD","préJ2/J6 · 8h-14h · Beaune",""),IF('Roulement V2'!N25="LD","préJ2/J6 · 8h-14h · Dijon",""),IF('Roulement V2'!M26="LD","journée · 8h-18h30 · Beaune",""),IF('Roulement V2'!N26="LD","journée · 8h-18h30 · Dijon",""),IF('Roulement V2'!M27="LD","journée · 8h-18h30 · Beaune",""),IF('Roulement V2'!N27="LD","journée · 8h-18h30 · Dijon",""))</f>
      </c>
      <c r="H7" t="str" s="2" cm="1">
        <f t="array" ref="H7">_xlfn.TEXTJOIN(" + ",TRUE,IF('Roulement V2'!O20="LD","J1 · 8h-16h · Beaune",""),IF('Roulement V2'!P20="LD","J1 · 8h-16h · Dijon",""),IF('Roulement V2'!O21="LD","J2 · 14h-22h · Beaune",""),IF('Roulement V2'!P21="LD","J2 · 14h-22h · Dijon",""),IF('Roulement V2'!O22="LD","journée · 8h-18h30 · Beaune",""),IF('Roulement V2'!P22="LD","journée · 8h-18h30 · Dijon",""),IF('Roulement V2'!O23="LD","journée · 8h-18h30 · Beaune",""),IF('Roulement V2'!P23="LD","journée · 8h-18h30 · Dijon",""),IF('Roulement V2'!O24="LD","J5 · 12h-20h · Beaune",""),IF('Roulement V2'!P24="LD","J5 · 12h-20h · Dijon",""),IF('Roulement V2'!O25="LD","préJ2/J6 · 8h-14h · Beaune",""),IF('Roulement V2'!P25="LD","préJ2/J6 · 8h-14h · Dijon",""),IF('Roulement V2'!O26="LD","journée · 8h-18h30 · Beaune",""),IF('Roulement V2'!P26="LD","journée · 8h-18h30 · Dijon",""),IF('Roulement V2'!O27="LD","journée · 8h-18h30 · Beaune",""),IF('Roulement V2'!P27="LD","journée · 8h-18h30 · Dijon",""))</f>
      </c>
      <c r="I7" t="str" s="2" cm="1">
        <f t="array" ref="I7">_xlfn.TEXTJOIN(" + ",TRUE,IF('Roulement V2'!Q20="LD","J1 · 8h-16h · Beaune",""),IF('Roulement V2'!R20="LD","J1 · 8h-16h · Dijon",""),IF('Roulement V2'!Q21="LD","J2 · 14h-22h · Beaune",""),IF('Roulement V2'!R21="LD","J2 · 14h-22h · Dijon",""),IF('Roulement V2'!Q22="LD","journée · 8h-18h30 · Beaune",""),IF('Roulement V2'!R22="LD","journée · 8h-18h30 · Dijon",""),IF('Roulement V2'!Q23="LD","journée · 8h-18h30 · Beaune",""),IF('Roulement V2'!R23="LD","journée · 8h-18h30 · Dijon",""),IF('Roulement V2'!Q24="LD","J5 · 12h-20h · Beaune",""),IF('Roulement V2'!R24="LD","J5 · 12h-20h · Dijon",""),IF('Roulement V2'!Q25="LD","préJ2/J6 · 8h-14h · Beaune",""),IF('Roulement V2'!R25="LD","préJ2/J6 · 8h-14h · Dijon",""),IF('Roulement V2'!Q26="LD","journée · 8h-18h30 · Beaune",""),IF('Roulement V2'!R26="LD","journée · 8h-18h30 · Dijon",""),IF('Roulement V2'!Q27="LD","journée · 8h-18h30 · Beaune",""),IF('Roulement V2'!R27="LD","journée · 8h-18h30 · Dijon",""))</f>
      </c>
    </row>
    <row r="8" ht="13.55" customHeight="1">
      <c r="A8" t="s" s="30">
        <v>39</v>
      </c>
      <c r="B8" t="str" s="2" cm="1">
        <f t="array" ref="B8">_xlfn.TEXTJOIN(" + ",TRUE,IF('Roulement V2'!C28="LD","J1 · 8h-16h · Beaune",""),IF('Roulement V2'!D28="LD","J1 · 8h-16h · Dijon",""),IF('Roulement V2'!C29="LD","J2 · 14h-22h · Beaune",""),IF('Roulement V2'!D29="LD","J2 · 14h-22h · Dijon",""),IF('Roulement V2'!C30="LD","journée · 8h-18h30 · Beaune",""),IF('Roulement V2'!D30="LD","journée · 8h-18h30 · Dijon",""),IF('Roulement V2'!C31="LD","journée · 8h-18h30 · Beaune",""),IF('Roulement V2'!D31="LD","journée · 8h-18h30 · Dijon",""),IF('Roulement V2'!C32="LD","J5 · 12h-20h · Beaune",""),IF('Roulement V2'!D32="LD","J5 · 12h-20h · Dijon",""),IF('Roulement V2'!C33="LD","préJ2/J6 · 8h-14h · Beaune",""),IF('Roulement V2'!D33="LD","préJ2/J6 · 8h-14h · Dijon",""),IF('Roulement V2'!C34="LD","journée · 8h-18h30 · Beaune",""),IF('Roulement V2'!D34="LD","journée · 8h-18h30 · Dijon",""),IF('Roulement V2'!C35="LD","journée · 8h-18h30 · Beaune",""),IF('Roulement V2'!D35="LD","journée · 8h-18h30 · Dijon",""))</f>
        <v>J2 · 14h-22h · Beaune</v>
      </c>
      <c r="C8" t="str" s="2" cm="1">
        <f t="array" ref="C8">_xlfn.TEXTJOIN(" + ",TRUE,IF('Roulement V2'!E28="LD","J1 · 8h-16h · Beaune",""),IF('Roulement V2'!F28="LD","J1 · 8h-16h · Dijon",""),IF('Roulement V2'!E29="LD","J2 · 14h-22h · Beaune",""),IF('Roulement V2'!F29="LD","J2 · 14h-22h · Dijon",""),IF('Roulement V2'!E30="LD","journée · 8h-18h30 · Beaune",""),IF('Roulement V2'!F30="LD","journée · 8h-18h30 · Dijon",""),IF('Roulement V2'!E31="LD","journée · 8h-18h30 · Beaune",""),IF('Roulement V2'!F31="LD","journée · 8h-18h30 · Dijon",""),IF('Roulement V2'!E32="LD","J5 · 12h-20h · Beaune",""),IF('Roulement V2'!F32="LD","J5 · 12h-20h · Dijon",""),IF('Roulement V2'!E33="LD","préJ2/J6 · 8h-14h · Beaune",""),IF('Roulement V2'!F33="LD","préJ2/J6 · 8h-14h · Dijon",""),IF('Roulement V2'!E34="LD","journée · 8h-18h30 · Beaune",""),IF('Roulement V2'!F34="LD","journée · 8h-18h30 · Dijon",""),IF('Roulement V2'!E35="LD","journée · 8h-18h30 · Beaune",""),IF('Roulement V2'!F35="LD","journée · 8h-18h30 · Dijon",""))</f>
        <v>journée · 8h-18h30 · Dijon</v>
      </c>
      <c r="D8" t="str" s="2" cm="1">
        <f t="array" ref="D8">_xlfn.TEXTJOIN(" + ",TRUE,IF('Roulement V2'!G28="LD","J1 · 8h-16h · Beaune",""),IF('Roulement V2'!H28="LD","J1 · 8h-16h · Dijon",""),IF('Roulement V2'!G29="LD","J2 · 14h-22h · Beaune",""),IF('Roulement V2'!H29="LD","J2 · 14h-22h · Dijon",""),IF('Roulement V2'!G30="LD","journée · 8h-18h30 · Beaune",""),IF('Roulement V2'!H30="LD","journée · 8h-18h30 · Dijon",""),IF('Roulement V2'!G31="LD","journée · 8h-18h30 · Beaune",""),IF('Roulement V2'!H31="LD","journée · 8h-18h30 · Dijon",""),IF('Roulement V2'!G32="LD","J5 · 12h-20h · Beaune",""),IF('Roulement V2'!H32="LD","J5 · 12h-20h · Dijon",""),IF('Roulement V2'!G33="LD","préJ2/J6 · 8h-14h · Beaune",""),IF('Roulement V2'!H33="LD","préJ2/J6 · 8h-14h · Dijon",""),IF('Roulement V2'!G34="LD","journée · 8h-18h30 · Beaune",""),IF('Roulement V2'!H34="LD","journée · 8h-18h30 · Dijon",""),IF('Roulement V2'!G35="LD","journée · 8h-18h30 · Beaune",""),IF('Roulement V2'!H35="LD","journée · 8h-18h30 · Dijon",""))</f>
        <v>J2 · 14h-22h · Beaune</v>
      </c>
      <c r="E8" t="str" s="2" cm="1">
        <f t="array" ref="E8">_xlfn.TEXTJOIN(" + ",TRUE,IF('Roulement V2'!I28="LD","J1 · 8h-16h · Beaune",""),IF('Roulement V2'!J28="LD","J1 · 8h-16h · Dijon",""),IF('Roulement V2'!I29="LD","J2 · 14h-22h · Beaune",""),IF('Roulement V2'!J29="LD","J2 · 14h-22h · Dijon",""),IF('Roulement V2'!I30="LD","journée · 8h-18h30 · Beaune",""),IF('Roulement V2'!J30="LD","journée · 8h-18h30 · Dijon",""),IF('Roulement V2'!I31="LD","journée · 8h-18h30 · Beaune",""),IF('Roulement V2'!J31="LD","journée · 8h-18h30 · Dijon",""),IF('Roulement V2'!I32="LD","J5 · 12h-20h · Beaune",""),IF('Roulement V2'!J32="LD","J5 · 12h-20h · Dijon",""),IF('Roulement V2'!I33="LD","préJ2/J6 · 8h-14h · Beaune",""),IF('Roulement V2'!J33="LD","préJ2/J6 · 8h-14h · Dijon",""),IF('Roulement V2'!I34="LD","journée · 8h-18h30 · Beaune",""),IF('Roulement V2'!J34="LD","journée · 8h-18h30 · Dijon",""),IF('Roulement V2'!I35="LD","journée · 8h-18h30 · Beaune",""),IF('Roulement V2'!J35="LD","journée · 8h-18h30 · Dijon",""))</f>
        <v>journée · 8h-18h30 · Dijon</v>
      </c>
      <c r="F8" t="str" s="2" cm="1">
        <f t="array" ref="F8">_xlfn.TEXTJOIN(" + ",TRUE,IF('Roulement V2'!K28="LD","J1 · 8h-16h · Beaune",""),IF('Roulement V2'!L28="LD","J1 · 8h-16h · Dijon",""),IF('Roulement V2'!K29="LD","J2 · 14h-22h · Beaune",""),IF('Roulement V2'!L29="LD","J2 · 14h-22h · Dijon",""),IF('Roulement V2'!K30="LD","journée · 8h-18h30 · Beaune",""),IF('Roulement V2'!L30="LD","journée · 8h-18h30 · Dijon",""),IF('Roulement V2'!K31="LD","journée · 8h-18h30 · Beaune",""),IF('Roulement V2'!L31="LD","journée · 8h-18h30 · Dijon",""),IF('Roulement V2'!K32="LD","J5 · 12h-20h · Beaune",""),IF('Roulement V2'!L32="LD","J5 · 12h-20h · Dijon",""),IF('Roulement V2'!K33="LD","préJ2/J6 · 8h-14h · Beaune",""),IF('Roulement V2'!L33="LD","préJ2/J6 · 8h-14h · Dijon",""),IF('Roulement V2'!K34="LD","journée · 8h-18h30 · Beaune",""),IF('Roulement V2'!L34="LD","journée · 8h-18h30 · Dijon",""),IF('Roulement V2'!K35="LD","journée · 8h-18h30 · Beaune",""),IF('Roulement V2'!L35="LD","journée · 8h-18h30 · Dijon",""))</f>
        <v>journée · 8h-18h30 · Dijon</v>
      </c>
      <c r="G8" t="str" s="2" cm="1">
        <f t="array" ref="G8">_xlfn.TEXTJOIN(" + ",TRUE,IF('Roulement V2'!M28="LD","J1 · 8h-16h · Beaune",""),IF('Roulement V2'!N28="LD","J1 · 8h-16h · Dijon",""),IF('Roulement V2'!M29="LD","J2 · 14h-22h · Beaune",""),IF('Roulement V2'!N29="LD","J2 · 14h-22h · Dijon",""),IF('Roulement V2'!M30="LD","journée · 8h-18h30 · Beaune",""),IF('Roulement V2'!N30="LD","journée · 8h-18h30 · Dijon",""),IF('Roulement V2'!M31="LD","journée · 8h-18h30 · Beaune",""),IF('Roulement V2'!N31="LD","journée · 8h-18h30 · Dijon",""),IF('Roulement V2'!M32="LD","J5 · 12h-20h · Beaune",""),IF('Roulement V2'!N32="LD","J5 · 12h-20h · Dijon",""),IF('Roulement V2'!M33="LD","préJ2/J6 · 8h-14h · Beaune",""),IF('Roulement V2'!N33="LD","préJ2/J6 · 8h-14h · Dijon",""),IF('Roulement V2'!M34="LD","journée · 8h-18h30 · Beaune",""),IF('Roulement V2'!N34="LD","journée · 8h-18h30 · Dijon",""),IF('Roulement V2'!M35="LD","journée · 8h-18h30 · Beaune",""),IF('Roulement V2'!N35="LD","journée · 8h-18h30 · Dijon",""))</f>
      </c>
      <c r="H8" t="str" s="2" cm="1">
        <f t="array" ref="H8">_xlfn.TEXTJOIN(" + ",TRUE,IF('Roulement V2'!O28="LD","J1 · 8h-16h · Beaune",""),IF('Roulement V2'!P28="LD","J1 · 8h-16h · Dijon",""),IF('Roulement V2'!O29="LD","J2 · 14h-22h · Beaune",""),IF('Roulement V2'!P29="LD","J2 · 14h-22h · Dijon",""),IF('Roulement V2'!O30="LD","journée · 8h-18h30 · Beaune",""),IF('Roulement V2'!P30="LD","journée · 8h-18h30 · Dijon",""),IF('Roulement V2'!O31="LD","journée · 8h-18h30 · Beaune",""),IF('Roulement V2'!P31="LD","journée · 8h-18h30 · Dijon",""),IF('Roulement V2'!O32="LD","J5 · 12h-20h · Beaune",""),IF('Roulement V2'!P32="LD","J5 · 12h-20h · Dijon",""),IF('Roulement V2'!O33="LD","préJ2/J6 · 8h-14h · Beaune",""),IF('Roulement V2'!P33="LD","préJ2/J6 · 8h-14h · Dijon",""),IF('Roulement V2'!O34="LD","journée · 8h-18h30 · Beaune",""),IF('Roulement V2'!P34="LD","journée · 8h-18h30 · Dijon",""),IF('Roulement V2'!O35="LD","journée · 8h-18h30 · Beaune",""),IF('Roulement V2'!P35="LD","journée · 8h-18h30 · Dijon",""))</f>
        <v>journée · 8h-18h30 · Dijon</v>
      </c>
      <c r="I8" t="str" s="2" cm="1">
        <f t="array" ref="I8">_xlfn.TEXTJOIN(" + ",TRUE,IF('Roulement V2'!Q28="LD","J1 · 8h-16h · Beaune",""),IF('Roulement V2'!R28="LD","J1 · 8h-16h · Dijon",""),IF('Roulement V2'!Q29="LD","J2 · 14h-22h · Beaune",""),IF('Roulement V2'!R29="LD","J2 · 14h-22h · Dijon",""),IF('Roulement V2'!Q30="LD","journée · 8h-18h30 · Beaune",""),IF('Roulement V2'!R30="LD","journée · 8h-18h30 · Dijon",""),IF('Roulement V2'!Q31="LD","journée · 8h-18h30 · Beaune",""),IF('Roulement V2'!R31="LD","journée · 8h-18h30 · Dijon",""),IF('Roulement V2'!Q32="LD","J5 · 12h-20h · Beaune",""),IF('Roulement V2'!R32="LD","J5 · 12h-20h · Dijon",""),IF('Roulement V2'!Q33="LD","préJ2/J6 · 8h-14h · Beaune",""),IF('Roulement V2'!R33="LD","préJ2/J6 · 8h-14h · Dijon",""),IF('Roulement V2'!Q34="LD","journée · 8h-18h30 · Beaune",""),IF('Roulement V2'!R34="LD","journée · 8h-18h30 · Dijon",""),IF('Roulement V2'!Q35="LD","journée · 8h-18h30 · Beaune",""),IF('Roulement V2'!R35="LD","journée · 8h-18h30 · Dijon",""))</f>
        <v>journée · 8h-18h30 · Dijon</v>
      </c>
    </row>
    <row r="9" ht="13.55" customHeight="1">
      <c r="A9" t="s" s="30">
        <v>40</v>
      </c>
      <c r="B9" t="str" s="2" cm="1">
        <f t="array" ref="B9">_xlfn.TEXTJOIN(" + ",TRUE,IF('Roulement V2'!C36="LD","J1 · 8h-16h · Beaune",""),IF('Roulement V2'!D36="LD","J1 · 8h-16h · Dijon",""),IF('Roulement V2'!C37="LD","J2 · 14h-22h · Beaune",""),IF('Roulement V2'!D37="LD","J2 · 14h-22h · Dijon",""),IF('Roulement V2'!C38="LD","journée · 8h-18h30 · Beaune",""),IF('Roulement V2'!D38="LD","journée · 8h-18h30 · Dijon",""),IF('Roulement V2'!C39="LD","journée · 8h-18h30 · Beaune",""),IF('Roulement V2'!D39="LD","journée · 8h-18h30 · Dijon",""),IF('Roulement V2'!C40="LD","J5 · 12h-20h · Beaune",""),IF('Roulement V2'!D40="LD","J5 · 12h-20h · Dijon",""),IF('Roulement V2'!C41="LD","préJ2/J6 · 8h-14h · Beaune",""),IF('Roulement V2'!D41="LD","préJ2/J6 · 8h-14h · Dijon",""),IF('Roulement V2'!C42="LD","journée · 8h-18h30 · Beaune",""),IF('Roulement V2'!D42="LD","journée · 8h-18h30 · Dijon",""),IF('Roulement V2'!C43="LD","journée · 8h-18h30 · Beaune",""),IF('Roulement V2'!D43="LD","journée · 8h-18h30 · Dijon",""))</f>
      </c>
      <c r="C9" t="str" s="2" cm="1">
        <f t="array" ref="C9">_xlfn.TEXTJOIN(" + ",TRUE,IF('Roulement V2'!E36="LD","J1 · 8h-16h · Beaune",""),IF('Roulement V2'!F36="LD","J1 · 8h-16h · Dijon",""),IF('Roulement V2'!E37="LD","J2 · 14h-22h · Beaune",""),IF('Roulement V2'!F37="LD","J2 · 14h-22h · Dijon",""),IF('Roulement V2'!E38="LD","journée · 8h-18h30 · Beaune",""),IF('Roulement V2'!F38="LD","journée · 8h-18h30 · Dijon",""),IF('Roulement V2'!E39="LD","journée · 8h-18h30 · Beaune",""),IF('Roulement V2'!F39="LD","journée · 8h-18h30 · Dijon",""),IF('Roulement V2'!E40="LD","J5 · 12h-20h · Beaune",""),IF('Roulement V2'!F40="LD","J5 · 12h-20h · Dijon",""),IF('Roulement V2'!E41="LD","préJ2/J6 · 8h-14h · Beaune",""),IF('Roulement V2'!F41="LD","préJ2/J6 · 8h-14h · Dijon",""),IF('Roulement V2'!E42="LD","journée · 8h-18h30 · Beaune",""),IF('Roulement V2'!F42="LD","journée · 8h-18h30 · Dijon",""),IF('Roulement V2'!E43="LD","journée · 8h-18h30 · Beaune",""),IF('Roulement V2'!F43="LD","journée · 8h-18h30 · Dijon",""))</f>
      </c>
      <c r="D9" t="str" s="2" cm="1">
        <f t="array" ref="D9">_xlfn.TEXTJOIN(" + ",TRUE,IF('Roulement V2'!G36="LD","J1 · 8h-16h · Beaune",""),IF('Roulement V2'!H36="LD","J1 · 8h-16h · Dijon",""),IF('Roulement V2'!G37="LD","J2 · 14h-22h · Beaune",""),IF('Roulement V2'!H37="LD","J2 · 14h-22h · Dijon",""),IF('Roulement V2'!G38="LD","journée · 8h-18h30 · Beaune",""),IF('Roulement V2'!H38="LD","journée · 8h-18h30 · Dijon",""),IF('Roulement V2'!G39="LD","journée · 8h-18h30 · Beaune",""),IF('Roulement V2'!H39="LD","journée · 8h-18h30 · Dijon",""),IF('Roulement V2'!G40="LD","J5 · 12h-20h · Beaune",""),IF('Roulement V2'!H40="LD","J5 · 12h-20h · Dijon",""),IF('Roulement V2'!G41="LD","préJ2/J6 · 8h-14h · Beaune",""),IF('Roulement V2'!H41="LD","préJ2/J6 · 8h-14h · Dijon",""),IF('Roulement V2'!G42="LD","journée · 8h-18h30 · Beaune",""),IF('Roulement V2'!H42="LD","journée · 8h-18h30 · Dijon",""),IF('Roulement V2'!G43="LD","journée · 8h-18h30 · Beaune",""),IF('Roulement V2'!H43="LD","journée · 8h-18h30 · Dijon",""))</f>
        <v>J1 · 8h-16h · Beaune</v>
      </c>
      <c r="E9" t="str" s="2" cm="1">
        <f t="array" ref="E9">_xlfn.TEXTJOIN(" + ",TRUE,IF('Roulement V2'!I36="LD","J1 · 8h-16h · Beaune",""),IF('Roulement V2'!J36="LD","J1 · 8h-16h · Dijon",""),IF('Roulement V2'!I37="LD","J2 · 14h-22h · Beaune",""),IF('Roulement V2'!J37="LD","J2 · 14h-22h · Dijon",""),IF('Roulement V2'!I38="LD","journée · 8h-18h30 · Beaune",""),IF('Roulement V2'!J38="LD","journée · 8h-18h30 · Dijon",""),IF('Roulement V2'!I39="LD","journée · 8h-18h30 · Beaune",""),IF('Roulement V2'!J39="LD","journée · 8h-18h30 · Dijon",""),IF('Roulement V2'!I40="LD","J5 · 12h-20h · Beaune",""),IF('Roulement V2'!J40="LD","J5 · 12h-20h · Dijon",""),IF('Roulement V2'!I41="LD","préJ2/J6 · 8h-14h · Beaune",""),IF('Roulement V2'!J41="LD","préJ2/J6 · 8h-14h · Dijon",""),IF('Roulement V2'!I42="LD","journée · 8h-18h30 · Beaune",""),IF('Roulement V2'!J42="LD","journée · 8h-18h30 · Dijon",""),IF('Roulement V2'!I43="LD","journée · 8h-18h30 · Beaune",""),IF('Roulement V2'!J43="LD","journée · 8h-18h30 · Dijon",""))</f>
        <v>journée · 8h-18h30 · Dijon</v>
      </c>
      <c r="F9" t="str" s="2" cm="1">
        <f t="array" ref="F9">_xlfn.TEXTJOIN(" + ",TRUE,IF('Roulement V2'!K36="LD","J1 · 8h-16h · Beaune",""),IF('Roulement V2'!L36="LD","J1 · 8h-16h · Dijon",""),IF('Roulement V2'!K37="LD","J2 · 14h-22h · Beaune",""),IF('Roulement V2'!L37="LD","J2 · 14h-22h · Dijon",""),IF('Roulement V2'!K38="LD","journée · 8h-18h30 · Beaune",""),IF('Roulement V2'!L38="LD","journée · 8h-18h30 · Dijon",""),IF('Roulement V2'!K39="LD","journée · 8h-18h30 · Beaune",""),IF('Roulement V2'!L39="LD","journée · 8h-18h30 · Dijon",""),IF('Roulement V2'!K40="LD","J5 · 12h-20h · Beaune",""),IF('Roulement V2'!L40="LD","J5 · 12h-20h · Dijon",""),IF('Roulement V2'!K41="LD","préJ2/J6 · 8h-14h · Beaune",""),IF('Roulement V2'!L41="LD","préJ2/J6 · 8h-14h · Dijon",""),IF('Roulement V2'!K42="LD","journée · 8h-18h30 · Beaune",""),IF('Roulement V2'!L42="LD","journée · 8h-18h30 · Dijon",""),IF('Roulement V2'!K43="LD","journée · 8h-18h30 · Beaune",""),IF('Roulement V2'!L43="LD","journée · 8h-18h30 · Dijon",""))</f>
        <v>J2 · 14h-22h · Dijon</v>
      </c>
      <c r="G9" t="str" s="2" cm="1">
        <f t="array" ref="G9">_xlfn.TEXTJOIN(" + ",TRUE,IF('Roulement V2'!M36="LD","J1 · 8h-16h · Beaune",""),IF('Roulement V2'!N36="LD","J1 · 8h-16h · Dijon",""),IF('Roulement V2'!M37="LD","J2 · 14h-22h · Beaune",""),IF('Roulement V2'!N37="LD","J2 · 14h-22h · Dijon",""),IF('Roulement V2'!M38="LD","journée · 8h-18h30 · Beaune",""),IF('Roulement V2'!N38="LD","journée · 8h-18h30 · Dijon",""),IF('Roulement V2'!M39="LD","journée · 8h-18h30 · Beaune",""),IF('Roulement V2'!N39="LD","journée · 8h-18h30 · Dijon",""),IF('Roulement V2'!M40="LD","J5 · 12h-20h · Beaune",""),IF('Roulement V2'!N40="LD","J5 · 12h-20h · Dijon",""),IF('Roulement V2'!M41="LD","préJ2/J6 · 8h-14h · Beaune",""),IF('Roulement V2'!N41="LD","préJ2/J6 · 8h-14h · Dijon",""),IF('Roulement V2'!M42="LD","journée · 8h-18h30 · Beaune",""),IF('Roulement V2'!N42="LD","journée · 8h-18h30 · Dijon",""),IF('Roulement V2'!M43="LD","journée · 8h-18h30 · Beaune",""),IF('Roulement V2'!N43="LD","journée · 8h-18h30 · Dijon",""))</f>
        <v>J1 · 8h-16h · Beaune</v>
      </c>
      <c r="H9" t="str" s="2" cm="1">
        <f t="array" ref="H9">_xlfn.TEXTJOIN(" + ",TRUE,IF('Roulement V2'!O36="LD","J1 · 8h-16h · Beaune",""),IF('Roulement V2'!P36="LD","J1 · 8h-16h · Dijon",""),IF('Roulement V2'!O37="LD","J2 · 14h-22h · Beaune",""),IF('Roulement V2'!P37="LD","J2 · 14h-22h · Dijon",""),IF('Roulement V2'!O38="LD","journée · 8h-18h30 · Beaune",""),IF('Roulement V2'!P38="LD","journée · 8h-18h30 · Dijon",""),IF('Roulement V2'!O39="LD","journée · 8h-18h30 · Beaune",""),IF('Roulement V2'!P39="LD","journée · 8h-18h30 · Dijon",""),IF('Roulement V2'!O40="LD","J5 · 12h-20h · Beaune",""),IF('Roulement V2'!P40="LD","J5 · 12h-20h · Dijon",""),IF('Roulement V2'!O41="LD","préJ2/J6 · 8h-14h · Beaune",""),IF('Roulement V2'!P41="LD","préJ2/J6 · 8h-14h · Dijon",""),IF('Roulement V2'!O42="LD","journée · 8h-18h30 · Beaune",""),IF('Roulement V2'!P42="LD","journée · 8h-18h30 · Dijon",""),IF('Roulement V2'!O43="LD","journée · 8h-18h30 · Beaune",""),IF('Roulement V2'!P43="LD","journée · 8h-18h30 · Dijon",""))</f>
        <v>J2 · 14h-22h · Dijon</v>
      </c>
      <c r="I9" t="str" s="2" cm="1">
        <f t="array" ref="I9">_xlfn.TEXTJOIN(" + ",TRUE,IF('Roulement V2'!Q36="LD","J1 · 8h-16h · Beaune",""),IF('Roulement V2'!R36="LD","J1 · 8h-16h · Dijon",""),IF('Roulement V2'!Q37="LD","J2 · 14h-22h · Beaune",""),IF('Roulement V2'!R37="LD","J2 · 14h-22h · Dijon",""),IF('Roulement V2'!Q38="LD","journée · 8h-18h30 · Beaune",""),IF('Roulement V2'!R38="LD","journée · 8h-18h30 · Dijon",""),IF('Roulement V2'!Q39="LD","journée · 8h-18h30 · Beaune",""),IF('Roulement V2'!R39="LD","journée · 8h-18h30 · Dijon",""),IF('Roulement V2'!Q40="LD","J5 · 12h-20h · Beaune",""),IF('Roulement V2'!R40="LD","J5 · 12h-20h · Dijon",""),IF('Roulement V2'!Q41="LD","préJ2/J6 · 8h-14h · Beaune",""),IF('Roulement V2'!R41="LD","préJ2/J6 · 8h-14h · Dijon",""),IF('Roulement V2'!Q42="LD","journée · 8h-18h30 · Beaune",""),IF('Roulement V2'!R42="LD","journée · 8h-18h30 · Dijon",""),IF('Roulement V2'!Q43="LD","journée · 8h-18h30 · Beaune",""),IF('Roulement V2'!R43="LD","journée · 8h-18h30 · Dijon",""))</f>
        <v>J2 · 14h-22h · Beaune</v>
      </c>
    </row>
    <row r="10" ht="13.55" customHeight="1">
      <c r="A10" t="s" s="30">
        <v>41</v>
      </c>
      <c r="B10" t="str" s="2" cm="1">
        <f t="array" ref="B10">_xlfn.TEXTJOIN(" + ",TRUE,IF('Roulement V2'!C44="LD","Garde · Beaune",""),IF('Roulement V2'!D44="LD","Garde · Dijon",""),IF('Roulement V2'!C45="LD","Doublon · Beaune",""),IF('Roulement V2'!D45="LD","Doublon · Dijon",""))</f>
      </c>
      <c r="C10" t="str" s="2" cm="1">
        <f t="array" ref="C10">_xlfn.TEXTJOIN(" + ",TRUE,IF('Roulement V2'!E44="LD","Garde · Beaune",""),IF('Roulement V2'!F44="LD","Garde · Dijon",""),IF('Roulement V2'!E45="LD","Doublon · Beaune",""),IF('Roulement V2'!F45="LD","Doublon · Dijon",""))</f>
        <v>Doublon · Beaune</v>
      </c>
      <c r="D10" t="str" s="2" cm="1">
        <f t="array" ref="D10">_xlfn.TEXTJOIN(" + ",TRUE,IF('Roulement V2'!G44="LD","Garde · Beaune",""),IF('Roulement V2'!H44="LD","Garde · Dijon",""),IF('Roulement V2'!G45="LD","Doublon · Beaune",""),IF('Roulement V2'!H45="LD","Doublon · Dijon",""))</f>
      </c>
      <c r="E10" t="str" s="2" cm="1">
        <f t="array" ref="E10">_xlfn.TEXTJOIN(" + ",TRUE,IF('Roulement V2'!I44="LD","Garde · Beaune",""),IF('Roulement V2'!J44="LD","Garde · Dijon",""),IF('Roulement V2'!I45="LD","Doublon · Beaune",""),IF('Roulement V2'!J45="LD","Doublon · Dijon",""))</f>
      </c>
      <c r="F10" t="str" s="2" cm="1">
        <f t="array" ref="F10">_xlfn.TEXTJOIN(" + ",TRUE,IF('Roulement V2'!K44="LD","Garde · Beaune",""),IF('Roulement V2'!L44="LD","Garde · Dijon",""),IF('Roulement V2'!K45="LD","Doublon · Beaune",""),IF('Roulement V2'!L45="LD","Doublon · Dijon",""))</f>
      </c>
      <c r="G10" t="str" s="2" cm="1">
        <f t="array" ref="G10">_xlfn.TEXTJOIN(" + ",TRUE,IF('Roulement V2'!M44="LD","Garde · Beaune",""),IF('Roulement V2'!N44="LD","Garde · Dijon",""),IF('Roulement V2'!M45="LD","Doublon · Beaune",""),IF('Roulement V2'!N45="LD","Doublon · Dijon",""))</f>
        <v>Doublon · Dijon</v>
      </c>
      <c r="H10" t="str" s="2" cm="1">
        <f t="array" ref="H10">_xlfn.TEXTJOIN(" + ",TRUE,IF('Roulement V2'!O44="LD","Garde · Beaune",""),IF('Roulement V2'!P44="LD","Garde · Dijon",""),IF('Roulement V2'!O45="LD","Doublon · Beaune",""),IF('Roulement V2'!P45="LD","Doublon · Dijon",""))</f>
      </c>
      <c r="I10" t="str" s="2" cm="1">
        <f t="array" ref="I10">_xlfn.TEXTJOIN(" + ",TRUE,IF('Roulement V2'!Q44="LD","Garde · Beaune",""),IF('Roulement V2'!R44="LD","Garde · Dijon",""),IF('Roulement V2'!Q45="LD","Doublon · Beaune",""),IF('Roulement V2'!R45="LD","Doublon · Dijon",""))</f>
      </c>
    </row>
    <row r="11" ht="13.55" customHeight="1">
      <c r="A11" t="s" s="30">
        <v>44</v>
      </c>
      <c r="B11" t="str" s="2" cm="1">
        <f t="array" ref="B11">_xlfn.TEXTJOIN(" + ",TRUE,IF('Roulement V2'!C46="LD","Garde · Beaune",""),IF('Roulement V2'!D46="LD","Garde · Dijon",""),IF('Roulement V2'!C47="LD","Doublon · Beaune",""),IF('Roulement V2'!D47="LD","Doublon · Dijon",""))</f>
      </c>
      <c r="C11" t="str" s="2" cm="1">
        <f t="array" ref="C11">_xlfn.TEXTJOIN(" + ",TRUE,IF('Roulement V2'!E46="LD","Garde · Beaune",""),IF('Roulement V2'!F46="LD","Garde · Dijon",""),IF('Roulement V2'!E47="LD","Doublon · Beaune",""),IF('Roulement V2'!F47="LD","Doublon · Dijon",""))</f>
        <v>Doublon · Beaune</v>
      </c>
      <c r="D11" t="str" s="2" cm="1">
        <f t="array" ref="D11">_xlfn.TEXTJOIN(" + ",TRUE,IF('Roulement V2'!G46="LD","Garde · Beaune",""),IF('Roulement V2'!H46="LD","Garde · Dijon",""),IF('Roulement V2'!G47="LD","Doublon · Beaune",""),IF('Roulement V2'!H47="LD","Doublon · Dijon",""))</f>
      </c>
      <c r="E11" t="str" s="2" cm="1">
        <f t="array" ref="E11">_xlfn.TEXTJOIN(" + ",TRUE,IF('Roulement V2'!I46="LD","Garde · Beaune",""),IF('Roulement V2'!J46="LD","Garde · Dijon",""),IF('Roulement V2'!I47="LD","Doublon · Beaune",""),IF('Roulement V2'!J47="LD","Doublon · Dijon",""))</f>
      </c>
      <c r="F11" t="str" s="2" cm="1">
        <f t="array" ref="F11">_xlfn.TEXTJOIN(" + ",TRUE,IF('Roulement V2'!K46="LD","Garde · Beaune",""),IF('Roulement V2'!L46="LD","Garde · Dijon",""),IF('Roulement V2'!K47="LD","Doublon · Beaune",""),IF('Roulement V2'!L47="LD","Doublon · Dijon",""))</f>
      </c>
      <c r="G11" t="str" s="2" cm="1">
        <f t="array" ref="G11">_xlfn.TEXTJOIN(" + ",TRUE,IF('Roulement V2'!M46="LD","Garde · Beaune",""),IF('Roulement V2'!N46="LD","Garde · Dijon",""),IF('Roulement V2'!M47="LD","Doublon · Beaune",""),IF('Roulement V2'!N47="LD","Doublon · Dijon",""))</f>
        <v>Doublon · Dijon</v>
      </c>
      <c r="H11" t="str" s="2" cm="1">
        <f t="array" ref="H11">_xlfn.TEXTJOIN(" + ",TRUE,IF('Roulement V2'!O46="LD","Garde · Beaune",""),IF('Roulement V2'!P46="LD","Garde · Dijon",""),IF('Roulement V2'!O47="LD","Doublon · Beaune",""),IF('Roulement V2'!P47="LD","Doublon · Dijon",""))</f>
      </c>
      <c r="I11" t="str" s="2" cm="1">
        <f t="array" ref="I11">_xlfn.TEXTJOIN(" + ",TRUE,IF('Roulement V2'!Q46="LD","Garde · Beaune",""),IF('Roulement V2'!R46="LD","Garde · Dijon",""),IF('Roulement V2'!Q47="LD","Doublon · Beaune",""),IF('Roulement V2'!R47="LD","Doublon · Dijon",""))</f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2</v>
      </c>
      <c r="C15" s="2"/>
      <c r="D15" t="s" s="30">
        <v>64</v>
      </c>
      <c r="E15" s="31" cm="1">
        <f t="array" ref="E15">COUNTIF(B5:I9,"*Beaune*")</f>
        <v>6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6</v>
      </c>
      <c r="C16" s="2"/>
      <c r="D16" t="s" s="30">
        <v>66</v>
      </c>
      <c r="E16" s="31" cm="1">
        <f t="array" ref="E16">COUNTIF(B5:I9,"*Dijon*")</f>
        <v>19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17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25</v>
      </c>
      <c r="C18" s="2"/>
      <c r="D18" t="s" s="30">
        <v>69</v>
      </c>
      <c r="E18" s="31" cm="1">
        <f t="array" ref="E18">COUNTIF(B10:I11,"*Garde*")</f>
        <v>0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4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dimension ref="A1:I19"/>
  <sheetViews>
    <sheetView workbookViewId="0" showGridLines="0" defaultGridColor="1"/>
  </sheetViews>
  <sheetFormatPr defaultColWidth="6.66667" defaultRowHeight="15" customHeight="1" outlineLevelRow="0" outlineLevelCol="0"/>
  <cols>
    <col min="1" max="1" width="9" style="42" customWidth="1"/>
    <col min="2" max="9" width="18" style="42" customWidth="1"/>
    <col min="10" max="16384" width="6.67188" style="42" customWidth="1"/>
  </cols>
  <sheetData>
    <row r="1" ht="15.35" customHeight="1">
      <c r="A1" t="s" s="21">
        <v>80</v>
      </c>
      <c r="B1" s="2"/>
      <c r="C1" s="2"/>
      <c r="D1" s="2"/>
      <c r="E1" s="2"/>
      <c r="F1" s="2"/>
      <c r="G1" s="2"/>
      <c r="H1" s="2"/>
      <c r="I1" s="2"/>
    </row>
    <row r="2" ht="13.55" customHeight="1">
      <c r="A2" t="s" s="25">
        <v>46</v>
      </c>
      <c r="B2" s="2"/>
      <c r="C2" s="2"/>
      <c r="D2" s="2"/>
      <c r="E2" s="2"/>
      <c r="F2" s="2"/>
      <c r="G2" s="2"/>
      <c r="H2" s="2"/>
      <c r="I2" s="2"/>
    </row>
    <row r="3" ht="13.55" customHeight="1">
      <c r="A3" s="2"/>
      <c r="B3" s="2"/>
      <c r="C3" s="2"/>
      <c r="D3" s="2"/>
      <c r="E3" s="2"/>
      <c r="F3" s="2"/>
      <c r="G3" s="2"/>
      <c r="H3" s="2"/>
      <c r="I3" s="2"/>
    </row>
    <row r="4" ht="13.55" customHeight="1">
      <c r="A4" t="s" s="29">
        <v>1</v>
      </c>
      <c r="B4" t="s" s="29">
        <v>47</v>
      </c>
      <c r="C4" t="s" s="29">
        <v>48</v>
      </c>
      <c r="D4" t="s" s="29">
        <v>49</v>
      </c>
      <c r="E4" t="s" s="29">
        <v>50</v>
      </c>
      <c r="F4" t="s" s="29">
        <v>51</v>
      </c>
      <c r="G4" t="s" s="29">
        <v>52</v>
      </c>
      <c r="H4" t="s" s="29">
        <v>53</v>
      </c>
      <c r="I4" t="s" s="29">
        <v>54</v>
      </c>
    </row>
    <row r="5" ht="13.55" customHeight="1">
      <c r="A5" t="s" s="30">
        <v>19</v>
      </c>
      <c r="B5" t="str" s="2" cm="1">
        <f t="array" ref="B5">_xlfn.TEXTJOIN(" + ",TRUE,IF('Roulement V2'!C4="MY","J1 · 8h-16h · Beaune",""),IF('Roulement V2'!D4="MY","J1 · 8h-16h · Dijon",""),IF('Roulement V2'!C5="MY","J2 · 14h-22h · Beaune",""),IF('Roulement V2'!D5="MY","J2 · 14h-22h · Dijon",""),IF('Roulement V2'!C6="MY","journée · 8h-18h30 · Beaune",""),IF('Roulement V2'!D6="MY","journée · 8h-18h30 · Dijon",""),IF('Roulement V2'!C7="MY","journée · 8h-18h30 · Beaune",""),IF('Roulement V2'!D7="MY","journée · 8h-18h30 · Dijon",""),IF('Roulement V2'!C8="MY","J5 · 12h-20h · Beaune",""),IF('Roulement V2'!D8="MY","J5 · 12h-20h · Dijon",""),IF('Roulement V2'!C9="MY","préJ2/J6 · 8h-14h · Beaune",""),IF('Roulement V2'!D9="MY","préJ2/J6 · 8h-14h · Dijon",""),IF('Roulement V2'!C10="MY","journée · 8h-18h30 · Beaune",""),IF('Roulement V2'!D10="MY","journée · 8h-18h30 · Dijon",""),IF('Roulement V2'!C11="MY","journée · 8h-18h30 · Beaune",""),IF('Roulement V2'!D11="MY","journée · 8h-18h30 · Dijon",""))</f>
      </c>
      <c r="C5" t="str" s="2" cm="1">
        <f t="array" ref="C5">_xlfn.TEXTJOIN(" + ",TRUE,IF('Roulement V2'!E4="MY","J1 · 8h-16h · Beaune",""),IF('Roulement V2'!F4="MY","J1 · 8h-16h · Dijon",""),IF('Roulement V2'!E5="MY","J2 · 14h-22h · Beaune",""),IF('Roulement V2'!F5="MY","J2 · 14h-22h · Dijon",""),IF('Roulement V2'!E6="MY","journée · 8h-18h30 · Beaune",""),IF('Roulement V2'!F6="MY","journée · 8h-18h30 · Dijon",""),IF('Roulement V2'!E7="MY","journée · 8h-18h30 · Beaune",""),IF('Roulement V2'!F7="MY","journée · 8h-18h30 · Dijon",""),IF('Roulement V2'!E8="MY","J5 · 12h-20h · Beaune",""),IF('Roulement V2'!F8="MY","J5 · 12h-20h · Dijon",""),IF('Roulement V2'!E9="MY","préJ2/J6 · 8h-14h · Beaune",""),IF('Roulement V2'!F9="MY","préJ2/J6 · 8h-14h · Dijon",""),IF('Roulement V2'!E10="MY","journée · 8h-18h30 · Beaune",""),IF('Roulement V2'!F10="MY","journée · 8h-18h30 · Dijon",""),IF('Roulement V2'!E11="MY","journée · 8h-18h30 · Beaune",""),IF('Roulement V2'!F11="MY","journée · 8h-18h30 · Dijon",""))</f>
        <v>journée · 8h-18h30 · Dijon</v>
      </c>
      <c r="D5" t="str" s="2" cm="1">
        <f t="array" ref="D5">_xlfn.TEXTJOIN(" + ",TRUE,IF('Roulement V2'!G4="MY","J1 · 8h-16h · Beaune",""),IF('Roulement V2'!H4="MY","J1 · 8h-16h · Dijon",""),IF('Roulement V2'!G5="MY","J2 · 14h-22h · Beaune",""),IF('Roulement V2'!H5="MY","J2 · 14h-22h · Dijon",""),IF('Roulement V2'!G6="MY","journée · 8h-18h30 · Beaune",""),IF('Roulement V2'!H6="MY","journée · 8h-18h30 · Dijon",""),IF('Roulement V2'!G7="MY","journée · 8h-18h30 · Beaune",""),IF('Roulement V2'!H7="MY","journée · 8h-18h30 · Dijon",""),IF('Roulement V2'!G8="MY","J5 · 12h-20h · Beaune",""),IF('Roulement V2'!H8="MY","J5 · 12h-20h · Dijon",""),IF('Roulement V2'!G9="MY","préJ2/J6 · 8h-14h · Beaune",""),IF('Roulement V2'!H9="MY","préJ2/J6 · 8h-14h · Dijon",""),IF('Roulement V2'!G10="MY","journée · 8h-18h30 · Beaune",""),IF('Roulement V2'!H10="MY","journée · 8h-18h30 · Dijon",""),IF('Roulement V2'!G11="MY","journée · 8h-18h30 · Beaune",""),IF('Roulement V2'!H11="MY","journée · 8h-18h30 · Dijon",""))</f>
        <v>journée · 8h-18h30 · Beaune</v>
      </c>
      <c r="E5" t="str" s="2" cm="1">
        <f t="array" ref="E5">_xlfn.TEXTJOIN(" + ",TRUE,IF('Roulement V2'!I4="MY","J1 · 8h-16h · Beaune",""),IF('Roulement V2'!J4="MY","J1 · 8h-16h · Dijon",""),IF('Roulement V2'!I5="MY","J2 · 14h-22h · Beaune",""),IF('Roulement V2'!J5="MY","J2 · 14h-22h · Dijon",""),IF('Roulement V2'!I6="MY","journée · 8h-18h30 · Beaune",""),IF('Roulement V2'!J6="MY","journée · 8h-18h30 · Dijon",""),IF('Roulement V2'!I7="MY","journée · 8h-18h30 · Beaune",""),IF('Roulement V2'!J7="MY","journée · 8h-18h30 · Dijon",""),IF('Roulement V2'!I8="MY","J5 · 12h-20h · Beaune",""),IF('Roulement V2'!J8="MY","J5 · 12h-20h · Dijon",""),IF('Roulement V2'!I9="MY","préJ2/J6 · 8h-14h · Beaune",""),IF('Roulement V2'!J9="MY","préJ2/J6 · 8h-14h · Dijon",""),IF('Roulement V2'!I10="MY","journée · 8h-18h30 · Beaune",""),IF('Roulement V2'!J10="MY","journée · 8h-18h30 · Dijon",""),IF('Roulement V2'!I11="MY","journée · 8h-18h30 · Beaune",""),IF('Roulement V2'!J11="MY","journée · 8h-18h30 · Dijon",""))</f>
        <v>J2 · 14h-22h · Beaune</v>
      </c>
      <c r="F5" t="str" s="2" cm="1">
        <f t="array" ref="F5">_xlfn.TEXTJOIN(" + ",TRUE,IF('Roulement V2'!K4="MY","J1 · 8h-16h · Beaune",""),IF('Roulement V2'!L4="MY","J1 · 8h-16h · Dijon",""),IF('Roulement V2'!K5="MY","J2 · 14h-22h · Beaune",""),IF('Roulement V2'!L5="MY","J2 · 14h-22h · Dijon",""),IF('Roulement V2'!K6="MY","journée · 8h-18h30 · Beaune",""),IF('Roulement V2'!L6="MY","journée · 8h-18h30 · Dijon",""),IF('Roulement V2'!K7="MY","journée · 8h-18h30 · Beaune",""),IF('Roulement V2'!L7="MY","journée · 8h-18h30 · Dijon",""),IF('Roulement V2'!K8="MY","J5 · 12h-20h · Beaune",""),IF('Roulement V2'!L8="MY","J5 · 12h-20h · Dijon",""),IF('Roulement V2'!K9="MY","préJ2/J6 · 8h-14h · Beaune",""),IF('Roulement V2'!L9="MY","préJ2/J6 · 8h-14h · Dijon",""),IF('Roulement V2'!K10="MY","journée · 8h-18h30 · Beaune",""),IF('Roulement V2'!L10="MY","journée · 8h-18h30 · Dijon",""),IF('Roulement V2'!K11="MY","journée · 8h-18h30 · Beaune",""),IF('Roulement V2'!L11="MY","journée · 8h-18h30 · Dijon",""))</f>
      </c>
      <c r="G5" t="str" s="2" cm="1">
        <f t="array" ref="G5">_xlfn.TEXTJOIN(" + ",TRUE,IF('Roulement V2'!M4="MY","J1 · 8h-16h · Beaune",""),IF('Roulement V2'!N4="MY","J1 · 8h-16h · Dijon",""),IF('Roulement V2'!M5="MY","J2 · 14h-22h · Beaune",""),IF('Roulement V2'!N5="MY","J2 · 14h-22h · Dijon",""),IF('Roulement V2'!M6="MY","journée · 8h-18h30 · Beaune",""),IF('Roulement V2'!N6="MY","journée · 8h-18h30 · Dijon",""),IF('Roulement V2'!M7="MY","journée · 8h-18h30 · Beaune",""),IF('Roulement V2'!N7="MY","journée · 8h-18h30 · Dijon",""),IF('Roulement V2'!M8="MY","J5 · 12h-20h · Beaune",""),IF('Roulement V2'!N8="MY","J5 · 12h-20h · Dijon",""),IF('Roulement V2'!M9="MY","préJ2/J6 · 8h-14h · Beaune",""),IF('Roulement V2'!N9="MY","préJ2/J6 · 8h-14h · Dijon",""),IF('Roulement V2'!M10="MY","journée · 8h-18h30 · Beaune",""),IF('Roulement V2'!N10="MY","journée · 8h-18h30 · Dijon",""),IF('Roulement V2'!M11="MY","journée · 8h-18h30 · Beaune",""),IF('Roulement V2'!N11="MY","journée · 8h-18h30 · Dijon",""))</f>
        <v>J2 · 14h-22h · Dijon</v>
      </c>
      <c r="H5" t="str" s="2" cm="1">
        <f t="array" ref="H5">_xlfn.TEXTJOIN(" + ",TRUE,IF('Roulement V2'!O4="MY","J1 · 8h-16h · Beaune",""),IF('Roulement V2'!P4="MY","J1 · 8h-16h · Dijon",""),IF('Roulement V2'!O5="MY","J2 · 14h-22h · Beaune",""),IF('Roulement V2'!P5="MY","J2 · 14h-22h · Dijon",""),IF('Roulement V2'!O6="MY","journée · 8h-18h30 · Beaune",""),IF('Roulement V2'!P6="MY","journée · 8h-18h30 · Dijon",""),IF('Roulement V2'!O7="MY","journée · 8h-18h30 · Beaune",""),IF('Roulement V2'!P7="MY","journée · 8h-18h30 · Dijon",""),IF('Roulement V2'!O8="MY","J5 · 12h-20h · Beaune",""),IF('Roulement V2'!P8="MY","J5 · 12h-20h · Dijon",""),IF('Roulement V2'!O9="MY","préJ2/J6 · 8h-14h · Beaune",""),IF('Roulement V2'!P9="MY","préJ2/J6 · 8h-14h · Dijon",""),IF('Roulement V2'!O10="MY","journée · 8h-18h30 · Beaune",""),IF('Roulement V2'!P10="MY","journée · 8h-18h30 · Dijon",""),IF('Roulement V2'!O11="MY","journée · 8h-18h30 · Beaune",""),IF('Roulement V2'!P11="MY","journée · 8h-18h30 · Dijon",""))</f>
        <v>journée · 8h-18h30 · Dijon</v>
      </c>
      <c r="I5" t="str" s="2" cm="1">
        <f t="array" ref="I5">_xlfn.TEXTJOIN(" + ",TRUE,IF('Roulement V2'!Q4="MY","J1 · 8h-16h · Beaune",""),IF('Roulement V2'!R4="MY","J1 · 8h-16h · Dijon",""),IF('Roulement V2'!Q5="MY","J2 · 14h-22h · Beaune",""),IF('Roulement V2'!R5="MY","J2 · 14h-22h · Dijon",""),IF('Roulement V2'!Q6="MY","journée · 8h-18h30 · Beaune",""),IF('Roulement V2'!R6="MY","journée · 8h-18h30 · Dijon",""),IF('Roulement V2'!Q7="MY","journée · 8h-18h30 · Beaune",""),IF('Roulement V2'!R7="MY","journée · 8h-18h30 · Dijon",""),IF('Roulement V2'!Q8="MY","J5 · 12h-20h · Beaune",""),IF('Roulement V2'!R8="MY","J5 · 12h-20h · Dijon",""),IF('Roulement V2'!Q9="MY","préJ2/J6 · 8h-14h · Beaune",""),IF('Roulement V2'!R9="MY","préJ2/J6 · 8h-14h · Dijon",""),IF('Roulement V2'!Q10="MY","journée · 8h-18h30 · Beaune",""),IF('Roulement V2'!R10="MY","journée · 8h-18h30 · Dijon",""),IF('Roulement V2'!Q11="MY","journée · 8h-18h30 · Beaune",""),IF('Roulement V2'!R11="MY","journée · 8h-18h30 · Dijon",""))</f>
        <v>journée · 8h-18h30 · Dijon</v>
      </c>
    </row>
    <row r="6" ht="13.55" customHeight="1">
      <c r="A6" t="s" s="30">
        <v>37</v>
      </c>
      <c r="B6" t="str" s="2" cm="1">
        <f t="array" ref="B6">_xlfn.TEXTJOIN(" + ",TRUE,IF('Roulement V2'!C12="MY","J1 · 8h-16h · Beaune",""),IF('Roulement V2'!D12="MY","J1 · 8h-16h · Dijon",""),IF('Roulement V2'!C13="MY","J2 · 14h-22h · Beaune",""),IF('Roulement V2'!D13="MY","J2 · 14h-22h · Dijon",""),IF('Roulement V2'!C14="MY","journée · 8h-18h30 · Beaune",""),IF('Roulement V2'!D14="MY","journée · 8h-18h30 · Dijon",""),IF('Roulement V2'!C15="MY","journée · 8h-18h30 · Beaune",""),IF('Roulement V2'!D15="MY","journée · 8h-18h30 · Dijon",""),IF('Roulement V2'!C16="MY","J5 · 12h-20h · Beaune",""),IF('Roulement V2'!D16="MY","J5 · 12h-20h · Dijon",""),IF('Roulement V2'!C17="MY","préJ2/J6 · 8h-14h · Beaune",""),IF('Roulement V2'!D17="MY","préJ2/J6 · 8h-14h · Dijon",""),IF('Roulement V2'!C18="MY","journée · 8h-18h30 · Beaune",""),IF('Roulement V2'!D18="MY","journée · 8h-18h30 · Dijon",""),IF('Roulement V2'!C19="MY","journée · 8h-18h30 · Beaune",""),IF('Roulement V2'!D19="MY","journée · 8h-18h30 · Dijon",""))</f>
        <v>journée · 8h-18h30 · Dijon</v>
      </c>
      <c r="C6" t="str" s="2" cm="1">
        <f t="array" ref="C6">_xlfn.TEXTJOIN(" + ",TRUE,IF('Roulement V2'!E12="MY","J1 · 8h-16h · Beaune",""),IF('Roulement V2'!F12="MY","J1 · 8h-16h · Dijon",""),IF('Roulement V2'!E13="MY","J2 · 14h-22h · Beaune",""),IF('Roulement V2'!F13="MY","J2 · 14h-22h · Dijon",""),IF('Roulement V2'!E14="MY","journée · 8h-18h30 · Beaune",""),IF('Roulement V2'!F14="MY","journée · 8h-18h30 · Dijon",""),IF('Roulement V2'!E15="MY","journée · 8h-18h30 · Beaune",""),IF('Roulement V2'!F15="MY","journée · 8h-18h30 · Dijon",""),IF('Roulement V2'!E16="MY","J5 · 12h-20h · Beaune",""),IF('Roulement V2'!F16="MY","J5 · 12h-20h · Dijon",""),IF('Roulement V2'!E17="MY","préJ2/J6 · 8h-14h · Beaune",""),IF('Roulement V2'!F17="MY","préJ2/J6 · 8h-14h · Dijon",""),IF('Roulement V2'!E18="MY","journée · 8h-18h30 · Beaune",""),IF('Roulement V2'!F18="MY","journée · 8h-18h30 · Dijon",""),IF('Roulement V2'!E19="MY","journée · 8h-18h30 · Beaune",""),IF('Roulement V2'!F19="MY","journée · 8h-18h30 · Dijon",""))</f>
      </c>
      <c r="D6" t="str" s="2" cm="1">
        <f t="array" ref="D6">_xlfn.TEXTJOIN(" + ",TRUE,IF('Roulement V2'!G12="MY","J1 · 8h-16h · Beaune",""),IF('Roulement V2'!H12="MY","J1 · 8h-16h · Dijon",""),IF('Roulement V2'!G13="MY","J2 · 14h-22h · Beaune",""),IF('Roulement V2'!H13="MY","J2 · 14h-22h · Dijon",""),IF('Roulement V2'!G14="MY","journée · 8h-18h30 · Beaune",""),IF('Roulement V2'!H14="MY","journée · 8h-18h30 · Dijon",""),IF('Roulement V2'!G15="MY","journée · 8h-18h30 · Beaune",""),IF('Roulement V2'!H15="MY","journée · 8h-18h30 · Dijon",""),IF('Roulement V2'!G16="MY","J5 · 12h-20h · Beaune",""),IF('Roulement V2'!H16="MY","J5 · 12h-20h · Dijon",""),IF('Roulement V2'!G17="MY","préJ2/J6 · 8h-14h · Beaune",""),IF('Roulement V2'!H17="MY","préJ2/J6 · 8h-14h · Dijon",""),IF('Roulement V2'!G18="MY","journée · 8h-18h30 · Beaune",""),IF('Roulement V2'!H18="MY","journée · 8h-18h30 · Dijon",""),IF('Roulement V2'!G19="MY","journée · 8h-18h30 · Beaune",""),IF('Roulement V2'!H19="MY","journée · 8h-18h30 · Dijon",""))</f>
        <v>J2 · 14h-22h · Beaune</v>
      </c>
      <c r="E6" t="str" s="2" cm="1">
        <f t="array" ref="E6">_xlfn.TEXTJOIN(" + ",TRUE,IF('Roulement V2'!I12="MY","J1 · 8h-16h · Beaune",""),IF('Roulement V2'!J12="MY","J1 · 8h-16h · Dijon",""),IF('Roulement V2'!I13="MY","J2 · 14h-22h · Beaune",""),IF('Roulement V2'!J13="MY","J2 · 14h-22h · Dijon",""),IF('Roulement V2'!I14="MY","journée · 8h-18h30 · Beaune",""),IF('Roulement V2'!J14="MY","journée · 8h-18h30 · Dijon",""),IF('Roulement V2'!I15="MY","journée · 8h-18h30 · Beaune",""),IF('Roulement V2'!J15="MY","journée · 8h-18h30 · Dijon",""),IF('Roulement V2'!I16="MY","J5 · 12h-20h · Beaune",""),IF('Roulement V2'!J16="MY","J5 · 12h-20h · Dijon",""),IF('Roulement V2'!I17="MY","préJ2/J6 · 8h-14h · Beaune",""),IF('Roulement V2'!J17="MY","préJ2/J6 · 8h-14h · Dijon",""),IF('Roulement V2'!I18="MY","journée · 8h-18h30 · Beaune",""),IF('Roulement V2'!J18="MY","journée · 8h-18h30 · Dijon",""),IF('Roulement V2'!I19="MY","journée · 8h-18h30 · Beaune",""),IF('Roulement V2'!J19="MY","journée · 8h-18h30 · Dijon",""))</f>
        <v>journée · 8h-18h30 · Beaune</v>
      </c>
      <c r="F6" t="str" s="2" cm="1">
        <f t="array" ref="F6">_xlfn.TEXTJOIN(" + ",TRUE,IF('Roulement V2'!K12="MY","J1 · 8h-16h · Beaune",""),IF('Roulement V2'!L12="MY","J1 · 8h-16h · Dijon",""),IF('Roulement V2'!K13="MY","J2 · 14h-22h · Beaune",""),IF('Roulement V2'!L13="MY","J2 · 14h-22h · Dijon",""),IF('Roulement V2'!K14="MY","journée · 8h-18h30 · Beaune",""),IF('Roulement V2'!L14="MY","journée · 8h-18h30 · Dijon",""),IF('Roulement V2'!K15="MY","journée · 8h-18h30 · Beaune",""),IF('Roulement V2'!L15="MY","journée · 8h-18h30 · Dijon",""),IF('Roulement V2'!K16="MY","J5 · 12h-20h · Beaune",""),IF('Roulement V2'!L16="MY","J5 · 12h-20h · Dijon",""),IF('Roulement V2'!K17="MY","préJ2/J6 · 8h-14h · Beaune",""),IF('Roulement V2'!L17="MY","préJ2/J6 · 8h-14h · Dijon",""),IF('Roulement V2'!K18="MY","journée · 8h-18h30 · Beaune",""),IF('Roulement V2'!L18="MY","journée · 8h-18h30 · Dijon",""),IF('Roulement V2'!K19="MY","journée · 8h-18h30 · Beaune",""),IF('Roulement V2'!L19="MY","journée · 8h-18h30 · Dijon",""))</f>
        <v>journée · 8h-18h30 · Dijon</v>
      </c>
      <c r="G6" t="str" s="2" cm="1">
        <f t="array" ref="G6">_xlfn.TEXTJOIN(" + ",TRUE,IF('Roulement V2'!M12="MY","J1 · 8h-16h · Beaune",""),IF('Roulement V2'!N12="MY","J1 · 8h-16h · Dijon",""),IF('Roulement V2'!M13="MY","J2 · 14h-22h · Beaune",""),IF('Roulement V2'!N13="MY","J2 · 14h-22h · Dijon",""),IF('Roulement V2'!M14="MY","journée · 8h-18h30 · Beaune",""),IF('Roulement V2'!N14="MY","journée · 8h-18h30 · Dijon",""),IF('Roulement V2'!M15="MY","journée · 8h-18h30 · Beaune",""),IF('Roulement V2'!N15="MY","journée · 8h-18h30 · Dijon",""),IF('Roulement V2'!M16="MY","J5 · 12h-20h · Beaune",""),IF('Roulement V2'!N16="MY","J5 · 12h-20h · Dijon",""),IF('Roulement V2'!M17="MY","préJ2/J6 · 8h-14h · Beaune",""),IF('Roulement V2'!N17="MY","préJ2/J6 · 8h-14h · Dijon",""),IF('Roulement V2'!M18="MY","journée · 8h-18h30 · Beaune",""),IF('Roulement V2'!N18="MY","journée · 8h-18h30 · Dijon",""),IF('Roulement V2'!M19="MY","journée · 8h-18h30 · Beaune",""),IF('Roulement V2'!N19="MY","journée · 8h-18h30 · Dijon",""))</f>
        <v>journée · 8h-18h30 · Beaune</v>
      </c>
      <c r="H6" t="str" s="2" cm="1">
        <f t="array" ref="H6">_xlfn.TEXTJOIN(" + ",TRUE,IF('Roulement V2'!O12="MY","J1 · 8h-16h · Beaune",""),IF('Roulement V2'!P12="MY","J1 · 8h-16h · Dijon",""),IF('Roulement V2'!O13="MY","J2 · 14h-22h · Beaune",""),IF('Roulement V2'!P13="MY","J2 · 14h-22h · Dijon",""),IF('Roulement V2'!O14="MY","journée · 8h-18h30 · Beaune",""),IF('Roulement V2'!P14="MY","journée · 8h-18h30 · Dijon",""),IF('Roulement V2'!O15="MY","journée · 8h-18h30 · Beaune",""),IF('Roulement V2'!P15="MY","journée · 8h-18h30 · Dijon",""),IF('Roulement V2'!O16="MY","J5 · 12h-20h · Beaune",""),IF('Roulement V2'!P16="MY","J5 · 12h-20h · Dijon",""),IF('Roulement V2'!O17="MY","préJ2/J6 · 8h-14h · Beaune",""),IF('Roulement V2'!P17="MY","préJ2/J6 · 8h-14h · Dijon",""),IF('Roulement V2'!O18="MY","journée · 8h-18h30 · Beaune",""),IF('Roulement V2'!P18="MY","journée · 8h-18h30 · Dijon",""),IF('Roulement V2'!O19="MY","journée · 8h-18h30 · Beaune",""),IF('Roulement V2'!P19="MY","journée · 8h-18h30 · Dijon",""))</f>
      </c>
      <c r="I6" t="str" s="2" cm="1">
        <f t="array" ref="I6">_xlfn.TEXTJOIN(" + ",TRUE,IF('Roulement V2'!Q12="MY","J1 · 8h-16h · Beaune",""),IF('Roulement V2'!R12="MY","J1 · 8h-16h · Dijon",""),IF('Roulement V2'!Q13="MY","J2 · 14h-22h · Beaune",""),IF('Roulement V2'!R13="MY","J2 · 14h-22h · Dijon",""),IF('Roulement V2'!Q14="MY","journée · 8h-18h30 · Beaune",""),IF('Roulement V2'!R14="MY","journée · 8h-18h30 · Dijon",""),IF('Roulement V2'!Q15="MY","journée · 8h-18h30 · Beaune",""),IF('Roulement V2'!R15="MY","journée · 8h-18h30 · Dijon",""),IF('Roulement V2'!Q16="MY","J5 · 12h-20h · Beaune",""),IF('Roulement V2'!R16="MY","J5 · 12h-20h · Dijon",""),IF('Roulement V2'!Q17="MY","préJ2/J6 · 8h-14h · Beaune",""),IF('Roulement V2'!R17="MY","préJ2/J6 · 8h-14h · Dijon",""),IF('Roulement V2'!Q18="MY","journée · 8h-18h30 · Beaune",""),IF('Roulement V2'!R18="MY","journée · 8h-18h30 · Dijon",""),IF('Roulement V2'!Q19="MY","journée · 8h-18h30 · Beaune",""),IF('Roulement V2'!R19="MY","journée · 8h-18h30 · Dijon",""))</f>
        <v>journée · 8h-18h30 · Beaune</v>
      </c>
    </row>
    <row r="7" ht="13.55" customHeight="1">
      <c r="A7" t="s" s="30">
        <v>38</v>
      </c>
      <c r="B7" t="str" s="2" cm="1">
        <f t="array" ref="B7">_xlfn.TEXTJOIN(" + ",TRUE,IF('Roulement V2'!C20="MY","J1 · 8h-16h · Beaune",""),IF('Roulement V2'!D20="MY","J1 · 8h-16h · Dijon",""),IF('Roulement V2'!C21="MY","J2 · 14h-22h · Beaune",""),IF('Roulement V2'!D21="MY","J2 · 14h-22h · Dijon",""),IF('Roulement V2'!C22="MY","journée · 8h-18h30 · Beaune",""),IF('Roulement V2'!D22="MY","journée · 8h-18h30 · Dijon",""),IF('Roulement V2'!C23="MY","journée · 8h-18h30 · Beaune",""),IF('Roulement V2'!D23="MY","journée · 8h-18h30 · Dijon",""),IF('Roulement V2'!C24="MY","J5 · 12h-20h · Beaune",""),IF('Roulement V2'!D24="MY","J5 · 12h-20h · Dijon",""),IF('Roulement V2'!C25="MY","préJ2/J6 · 8h-14h · Beaune",""),IF('Roulement V2'!D25="MY","préJ2/J6 · 8h-14h · Dijon",""),IF('Roulement V2'!C26="MY","journée · 8h-18h30 · Beaune",""),IF('Roulement V2'!D26="MY","journée · 8h-18h30 · Dijon",""),IF('Roulement V2'!C27="MY","journée · 8h-18h30 · Beaune",""),IF('Roulement V2'!D27="MY","journée · 8h-18h30 · Dijon",""))</f>
      </c>
      <c r="C7" t="str" s="2" cm="1">
        <f t="array" ref="C7">_xlfn.TEXTJOIN(" + ",TRUE,IF('Roulement V2'!E20="MY","J1 · 8h-16h · Beaune",""),IF('Roulement V2'!F20="MY","J1 · 8h-16h · Dijon",""),IF('Roulement V2'!E21="MY","J2 · 14h-22h · Beaune",""),IF('Roulement V2'!F21="MY","J2 · 14h-22h · Dijon",""),IF('Roulement V2'!E22="MY","journée · 8h-18h30 · Beaune",""),IF('Roulement V2'!F22="MY","journée · 8h-18h30 · Dijon",""),IF('Roulement V2'!E23="MY","journée · 8h-18h30 · Beaune",""),IF('Roulement V2'!F23="MY","journée · 8h-18h30 · Dijon",""),IF('Roulement V2'!E24="MY","J5 · 12h-20h · Beaune",""),IF('Roulement V2'!F24="MY","J5 · 12h-20h · Dijon",""),IF('Roulement V2'!E25="MY","préJ2/J6 · 8h-14h · Beaune",""),IF('Roulement V2'!F25="MY","préJ2/J6 · 8h-14h · Dijon",""),IF('Roulement V2'!E26="MY","journée · 8h-18h30 · Beaune",""),IF('Roulement V2'!F26="MY","journée · 8h-18h30 · Dijon",""),IF('Roulement V2'!E27="MY","journée · 8h-18h30 · Beaune",""),IF('Roulement V2'!F27="MY","journée · 8h-18h30 · Dijon",""))</f>
      </c>
      <c r="D7" t="str" s="2" cm="1">
        <f t="array" ref="D7">_xlfn.TEXTJOIN(" + ",TRUE,IF('Roulement V2'!G20="MY","J1 · 8h-16h · Beaune",""),IF('Roulement V2'!H20="MY","J1 · 8h-16h · Dijon",""),IF('Roulement V2'!G21="MY","J2 · 14h-22h · Beaune",""),IF('Roulement V2'!H21="MY","J2 · 14h-22h · Dijon",""),IF('Roulement V2'!G22="MY","journée · 8h-18h30 · Beaune",""),IF('Roulement V2'!H22="MY","journée · 8h-18h30 · Dijon",""),IF('Roulement V2'!G23="MY","journée · 8h-18h30 · Beaune",""),IF('Roulement V2'!H23="MY","journée · 8h-18h30 · Dijon",""),IF('Roulement V2'!G24="MY","J5 · 12h-20h · Beaune",""),IF('Roulement V2'!H24="MY","J5 · 12h-20h · Dijon",""),IF('Roulement V2'!G25="MY","préJ2/J6 · 8h-14h · Beaune",""),IF('Roulement V2'!H25="MY","préJ2/J6 · 8h-14h · Dijon",""),IF('Roulement V2'!G26="MY","journée · 8h-18h30 · Beaune",""),IF('Roulement V2'!H26="MY","journée · 8h-18h30 · Dijon",""),IF('Roulement V2'!G27="MY","journée · 8h-18h30 · Beaune",""),IF('Roulement V2'!H27="MY","journée · 8h-18h30 · Dijon",""))</f>
      </c>
      <c r="E7" t="str" s="2" cm="1">
        <f t="array" ref="E7">_xlfn.TEXTJOIN(" + ",TRUE,IF('Roulement V2'!I20="MY","J1 · 8h-16h · Beaune",""),IF('Roulement V2'!J20="MY","J1 · 8h-16h · Dijon",""),IF('Roulement V2'!I21="MY","J2 · 14h-22h · Beaune",""),IF('Roulement V2'!J21="MY","J2 · 14h-22h · Dijon",""),IF('Roulement V2'!I22="MY","journée · 8h-18h30 · Beaune",""),IF('Roulement V2'!J22="MY","journée · 8h-18h30 · Dijon",""),IF('Roulement V2'!I23="MY","journée · 8h-18h30 · Beaune",""),IF('Roulement V2'!J23="MY","journée · 8h-18h30 · Dijon",""),IF('Roulement V2'!I24="MY","J5 · 12h-20h · Beaune",""),IF('Roulement V2'!J24="MY","J5 · 12h-20h · Dijon",""),IF('Roulement V2'!I25="MY","préJ2/J6 · 8h-14h · Beaune",""),IF('Roulement V2'!J25="MY","préJ2/J6 · 8h-14h · Dijon",""),IF('Roulement V2'!I26="MY","journée · 8h-18h30 · Beaune",""),IF('Roulement V2'!J26="MY","journée · 8h-18h30 · Dijon",""),IF('Roulement V2'!I27="MY","journée · 8h-18h30 · Beaune",""),IF('Roulement V2'!J27="MY","journée · 8h-18h30 · Dijon",""))</f>
      </c>
      <c r="F7" t="str" s="2" cm="1">
        <f t="array" ref="F7">_xlfn.TEXTJOIN(" + ",TRUE,IF('Roulement V2'!K20="MY","J1 · 8h-16h · Beaune",""),IF('Roulement V2'!L20="MY","J1 · 8h-16h · Dijon",""),IF('Roulement V2'!K21="MY","J2 · 14h-22h · Beaune",""),IF('Roulement V2'!L21="MY","J2 · 14h-22h · Dijon",""),IF('Roulement V2'!K22="MY","journée · 8h-18h30 · Beaune",""),IF('Roulement V2'!L22="MY","journée · 8h-18h30 · Dijon",""),IF('Roulement V2'!K23="MY","journée · 8h-18h30 · Beaune",""),IF('Roulement V2'!L23="MY","journée · 8h-18h30 · Dijon",""),IF('Roulement V2'!K24="MY","J5 · 12h-20h · Beaune",""),IF('Roulement V2'!L24="MY","J5 · 12h-20h · Dijon",""),IF('Roulement V2'!K25="MY","préJ2/J6 · 8h-14h · Beaune",""),IF('Roulement V2'!L25="MY","préJ2/J6 · 8h-14h · Dijon",""),IF('Roulement V2'!K26="MY","journée · 8h-18h30 · Beaune",""),IF('Roulement V2'!L26="MY","journée · 8h-18h30 · Dijon",""),IF('Roulement V2'!K27="MY","journée · 8h-18h30 · Beaune",""),IF('Roulement V2'!L27="MY","journée · 8h-18h30 · Dijon",""))</f>
      </c>
      <c r="G7" t="str" s="2" cm="1">
        <f t="array" ref="G7">_xlfn.TEXTJOIN(" + ",TRUE,IF('Roulement V2'!M20="MY","J1 · 8h-16h · Beaune",""),IF('Roulement V2'!N20="MY","J1 · 8h-16h · Dijon",""),IF('Roulement V2'!M21="MY","J2 · 14h-22h · Beaune",""),IF('Roulement V2'!N21="MY","J2 · 14h-22h · Dijon",""),IF('Roulement V2'!M22="MY","journée · 8h-18h30 · Beaune",""),IF('Roulement V2'!N22="MY","journée · 8h-18h30 · Dijon",""),IF('Roulement V2'!M23="MY","journée · 8h-18h30 · Beaune",""),IF('Roulement V2'!N23="MY","journée · 8h-18h30 · Dijon",""),IF('Roulement V2'!M24="MY","J5 · 12h-20h · Beaune",""),IF('Roulement V2'!N24="MY","J5 · 12h-20h · Dijon",""),IF('Roulement V2'!M25="MY","préJ2/J6 · 8h-14h · Beaune",""),IF('Roulement V2'!N25="MY","préJ2/J6 · 8h-14h · Dijon",""),IF('Roulement V2'!M26="MY","journée · 8h-18h30 · Beaune",""),IF('Roulement V2'!N26="MY","journée · 8h-18h30 · Dijon",""),IF('Roulement V2'!M27="MY","journée · 8h-18h30 · Beaune",""),IF('Roulement V2'!N27="MY","journée · 8h-18h30 · Dijon",""))</f>
      </c>
      <c r="H7" t="str" s="2" cm="1">
        <f t="array" ref="H7">_xlfn.TEXTJOIN(" + ",TRUE,IF('Roulement V2'!O20="MY","J1 · 8h-16h · Beaune",""),IF('Roulement V2'!P20="MY","J1 · 8h-16h · Dijon",""),IF('Roulement V2'!O21="MY","J2 · 14h-22h · Beaune",""),IF('Roulement V2'!P21="MY","J2 · 14h-22h · Dijon",""),IF('Roulement V2'!O22="MY","journée · 8h-18h30 · Beaune",""),IF('Roulement V2'!P22="MY","journée · 8h-18h30 · Dijon",""),IF('Roulement V2'!O23="MY","journée · 8h-18h30 · Beaune",""),IF('Roulement V2'!P23="MY","journée · 8h-18h30 · Dijon",""),IF('Roulement V2'!O24="MY","J5 · 12h-20h · Beaune",""),IF('Roulement V2'!P24="MY","J5 · 12h-20h · Dijon",""),IF('Roulement V2'!O25="MY","préJ2/J6 · 8h-14h · Beaune",""),IF('Roulement V2'!P25="MY","préJ2/J6 · 8h-14h · Dijon",""),IF('Roulement V2'!O26="MY","journée · 8h-18h30 · Beaune",""),IF('Roulement V2'!P26="MY","journée · 8h-18h30 · Dijon",""),IF('Roulement V2'!O27="MY","journée · 8h-18h30 · Beaune",""),IF('Roulement V2'!P27="MY","journée · 8h-18h30 · Dijon",""))</f>
      </c>
      <c r="I7" t="str" s="2" cm="1">
        <f t="array" ref="I7">_xlfn.TEXTJOIN(" + ",TRUE,IF('Roulement V2'!Q20="MY","J1 · 8h-16h · Beaune",""),IF('Roulement V2'!R20="MY","J1 · 8h-16h · Dijon",""),IF('Roulement V2'!Q21="MY","J2 · 14h-22h · Beaune",""),IF('Roulement V2'!R21="MY","J2 · 14h-22h · Dijon",""),IF('Roulement V2'!Q22="MY","journée · 8h-18h30 · Beaune",""),IF('Roulement V2'!R22="MY","journée · 8h-18h30 · Dijon",""),IF('Roulement V2'!Q23="MY","journée · 8h-18h30 · Beaune",""),IF('Roulement V2'!R23="MY","journée · 8h-18h30 · Dijon",""),IF('Roulement V2'!Q24="MY","J5 · 12h-20h · Beaune",""),IF('Roulement V2'!R24="MY","J5 · 12h-20h · Dijon",""),IF('Roulement V2'!Q25="MY","préJ2/J6 · 8h-14h · Beaune",""),IF('Roulement V2'!R25="MY","préJ2/J6 · 8h-14h · Dijon",""),IF('Roulement V2'!Q26="MY","journée · 8h-18h30 · Beaune",""),IF('Roulement V2'!R26="MY","journée · 8h-18h30 · Dijon",""),IF('Roulement V2'!Q27="MY","journée · 8h-18h30 · Beaune",""),IF('Roulement V2'!R27="MY","journée · 8h-18h30 · Dijon",""))</f>
      </c>
    </row>
    <row r="8" ht="13.55" customHeight="1">
      <c r="A8" t="s" s="30">
        <v>39</v>
      </c>
      <c r="B8" t="str" s="2" cm="1">
        <f t="array" ref="B8">_xlfn.TEXTJOIN(" + ",TRUE,IF('Roulement V2'!C28="MY","J1 · 8h-16h · Beaune",""),IF('Roulement V2'!D28="MY","J1 · 8h-16h · Dijon",""),IF('Roulement V2'!C29="MY","J2 · 14h-22h · Beaune",""),IF('Roulement V2'!D29="MY","J2 · 14h-22h · Dijon",""),IF('Roulement V2'!C30="MY","journée · 8h-18h30 · Beaune",""),IF('Roulement V2'!D30="MY","journée · 8h-18h30 · Dijon",""),IF('Roulement V2'!C31="MY","journée · 8h-18h30 · Beaune",""),IF('Roulement V2'!D31="MY","journée · 8h-18h30 · Dijon",""),IF('Roulement V2'!C32="MY","J5 · 12h-20h · Beaune",""),IF('Roulement V2'!D32="MY","J5 · 12h-20h · Dijon",""),IF('Roulement V2'!C33="MY","préJ2/J6 · 8h-14h · Beaune",""),IF('Roulement V2'!D33="MY","préJ2/J6 · 8h-14h · Dijon",""),IF('Roulement V2'!C34="MY","journée · 8h-18h30 · Beaune",""),IF('Roulement V2'!D34="MY","journée · 8h-18h30 · Dijon",""),IF('Roulement V2'!C35="MY","journée · 8h-18h30 · Beaune",""),IF('Roulement V2'!D35="MY","journée · 8h-18h30 · Dijon",""))</f>
        <v>journée · 8h-18h30 · Beaune</v>
      </c>
      <c r="C8" t="str" s="2" cm="1">
        <f t="array" ref="C8">_xlfn.TEXTJOIN(" + ",TRUE,IF('Roulement V2'!E28="MY","J1 · 8h-16h · Beaune",""),IF('Roulement V2'!F28="MY","J1 · 8h-16h · Dijon",""),IF('Roulement V2'!E29="MY","J2 · 14h-22h · Beaune",""),IF('Roulement V2'!F29="MY","J2 · 14h-22h · Dijon",""),IF('Roulement V2'!E30="MY","journée · 8h-18h30 · Beaune",""),IF('Roulement V2'!F30="MY","journée · 8h-18h30 · Dijon",""),IF('Roulement V2'!E31="MY","journée · 8h-18h30 · Beaune",""),IF('Roulement V2'!F31="MY","journée · 8h-18h30 · Dijon",""),IF('Roulement V2'!E32="MY","J5 · 12h-20h · Beaune",""),IF('Roulement V2'!F32="MY","J5 · 12h-20h · Dijon",""),IF('Roulement V2'!E33="MY","préJ2/J6 · 8h-14h · Beaune",""),IF('Roulement V2'!F33="MY","préJ2/J6 · 8h-14h · Dijon",""),IF('Roulement V2'!E34="MY","journée · 8h-18h30 · Beaune",""),IF('Roulement V2'!F34="MY","journée · 8h-18h30 · Dijon",""),IF('Roulement V2'!E35="MY","journée · 8h-18h30 · Beaune",""),IF('Roulement V2'!F35="MY","journée · 8h-18h30 · Dijon",""))</f>
        <v>journée · 8h-18h30 · Dijon</v>
      </c>
      <c r="D8" t="str" s="2" cm="1">
        <f t="array" ref="D8">_xlfn.TEXTJOIN(" + ",TRUE,IF('Roulement V2'!G28="MY","J1 · 8h-16h · Beaune",""),IF('Roulement V2'!H28="MY","J1 · 8h-16h · Dijon",""),IF('Roulement V2'!G29="MY","J2 · 14h-22h · Beaune",""),IF('Roulement V2'!H29="MY","J2 · 14h-22h · Dijon",""),IF('Roulement V2'!G30="MY","journée · 8h-18h30 · Beaune",""),IF('Roulement V2'!H30="MY","journée · 8h-18h30 · Dijon",""),IF('Roulement V2'!G31="MY","journée · 8h-18h30 · Beaune",""),IF('Roulement V2'!H31="MY","journée · 8h-18h30 · Dijon",""),IF('Roulement V2'!G32="MY","J5 · 12h-20h · Beaune",""),IF('Roulement V2'!H32="MY","J5 · 12h-20h · Dijon",""),IF('Roulement V2'!G33="MY","préJ2/J6 · 8h-14h · Beaune",""),IF('Roulement V2'!H33="MY","préJ2/J6 · 8h-14h · Dijon",""),IF('Roulement V2'!G34="MY","journée · 8h-18h30 · Beaune",""),IF('Roulement V2'!H34="MY","journée · 8h-18h30 · Dijon",""),IF('Roulement V2'!G35="MY","journée · 8h-18h30 · Beaune",""),IF('Roulement V2'!H35="MY","journée · 8h-18h30 · Dijon",""))</f>
        <v>journée · 8h-18h30 · Dijon</v>
      </c>
      <c r="E8" t="str" s="2" cm="1">
        <f t="array" ref="E8">_xlfn.TEXTJOIN(" + ",TRUE,IF('Roulement V2'!I28="MY","J1 · 8h-16h · Beaune",""),IF('Roulement V2'!J28="MY","J1 · 8h-16h · Dijon",""),IF('Roulement V2'!I29="MY","J2 · 14h-22h · Beaune",""),IF('Roulement V2'!J29="MY","J2 · 14h-22h · Dijon",""),IF('Roulement V2'!I30="MY","journée · 8h-18h30 · Beaune",""),IF('Roulement V2'!J30="MY","journée · 8h-18h30 · Dijon",""),IF('Roulement V2'!I31="MY","journée · 8h-18h30 · Beaune",""),IF('Roulement V2'!J31="MY","journée · 8h-18h30 · Dijon",""),IF('Roulement V2'!I32="MY","J5 · 12h-20h · Beaune",""),IF('Roulement V2'!J32="MY","J5 · 12h-20h · Dijon",""),IF('Roulement V2'!I33="MY","préJ2/J6 · 8h-14h · Beaune",""),IF('Roulement V2'!J33="MY","préJ2/J6 · 8h-14h · Dijon",""),IF('Roulement V2'!I34="MY","journée · 8h-18h30 · Beaune",""),IF('Roulement V2'!J34="MY","journée · 8h-18h30 · Dijon",""),IF('Roulement V2'!I35="MY","journée · 8h-18h30 · Beaune",""),IF('Roulement V2'!J35="MY","journée · 8h-18h30 · Dijon",""))</f>
        <v>J1 · 8h-16h · Beaune</v>
      </c>
      <c r="F8" t="str" s="2" cm="1">
        <f t="array" ref="F8">_xlfn.TEXTJOIN(" + ",TRUE,IF('Roulement V2'!K28="MY","J1 · 8h-16h · Beaune",""),IF('Roulement V2'!L28="MY","J1 · 8h-16h · Dijon",""),IF('Roulement V2'!K29="MY","J2 · 14h-22h · Beaune",""),IF('Roulement V2'!L29="MY","J2 · 14h-22h · Dijon",""),IF('Roulement V2'!K30="MY","journée · 8h-18h30 · Beaune",""),IF('Roulement V2'!L30="MY","journée · 8h-18h30 · Dijon",""),IF('Roulement V2'!K31="MY","journée · 8h-18h30 · Beaune",""),IF('Roulement V2'!L31="MY","journée · 8h-18h30 · Dijon",""),IF('Roulement V2'!K32="MY","J5 · 12h-20h · Beaune",""),IF('Roulement V2'!L32="MY","J5 · 12h-20h · Dijon",""),IF('Roulement V2'!K33="MY","préJ2/J6 · 8h-14h · Beaune",""),IF('Roulement V2'!L33="MY","préJ2/J6 · 8h-14h · Dijon",""),IF('Roulement V2'!K34="MY","journée · 8h-18h30 · Beaune",""),IF('Roulement V2'!L34="MY","journée · 8h-18h30 · Dijon",""),IF('Roulement V2'!K35="MY","journée · 8h-18h30 · Beaune",""),IF('Roulement V2'!L35="MY","journée · 8h-18h30 · Dijon",""))</f>
        <v>J2 · 14h-22h · Dijon</v>
      </c>
      <c r="G8" t="str" s="2" cm="1">
        <f t="array" ref="G8">_xlfn.TEXTJOIN(" + ",TRUE,IF('Roulement V2'!M28="MY","J1 · 8h-16h · Beaune",""),IF('Roulement V2'!N28="MY","J1 · 8h-16h · Dijon",""),IF('Roulement V2'!M29="MY","J2 · 14h-22h · Beaune",""),IF('Roulement V2'!N29="MY","J2 · 14h-22h · Dijon",""),IF('Roulement V2'!M30="MY","journée · 8h-18h30 · Beaune",""),IF('Roulement V2'!N30="MY","journée · 8h-18h30 · Dijon",""),IF('Roulement V2'!M31="MY","journée · 8h-18h30 · Beaune",""),IF('Roulement V2'!N31="MY","journée · 8h-18h30 · Dijon",""),IF('Roulement V2'!M32="MY","J5 · 12h-20h · Beaune",""),IF('Roulement V2'!N32="MY","J5 · 12h-20h · Dijon",""),IF('Roulement V2'!M33="MY","préJ2/J6 · 8h-14h · Beaune",""),IF('Roulement V2'!N33="MY","préJ2/J6 · 8h-14h · Dijon",""),IF('Roulement V2'!M34="MY","journée · 8h-18h30 · Beaune",""),IF('Roulement V2'!N34="MY","journée · 8h-18h30 · Dijon",""),IF('Roulement V2'!M35="MY","journée · 8h-18h30 · Beaune",""),IF('Roulement V2'!N35="MY","journée · 8h-18h30 · Dijon",""))</f>
        <v>journée · 8h-18h30 · Dijon</v>
      </c>
      <c r="H8" t="str" s="2" cm="1">
        <f t="array" ref="H8">_xlfn.TEXTJOIN(" + ",TRUE,IF('Roulement V2'!O28="MY","J1 · 8h-16h · Beaune",""),IF('Roulement V2'!P28="MY","J1 · 8h-16h · Dijon",""),IF('Roulement V2'!O29="MY","J2 · 14h-22h · Beaune",""),IF('Roulement V2'!P29="MY","J2 · 14h-22h · Dijon",""),IF('Roulement V2'!O30="MY","journée · 8h-18h30 · Beaune",""),IF('Roulement V2'!P30="MY","journée · 8h-18h30 · Dijon",""),IF('Roulement V2'!O31="MY","journée · 8h-18h30 · Beaune",""),IF('Roulement V2'!P31="MY","journée · 8h-18h30 · Dijon",""),IF('Roulement V2'!O32="MY","J5 · 12h-20h · Beaune",""),IF('Roulement V2'!P32="MY","J5 · 12h-20h · Dijon",""),IF('Roulement V2'!O33="MY","préJ2/J6 · 8h-14h · Beaune",""),IF('Roulement V2'!P33="MY","préJ2/J6 · 8h-14h · Dijon",""),IF('Roulement V2'!O34="MY","journée · 8h-18h30 · Beaune",""),IF('Roulement V2'!P34="MY","journée · 8h-18h30 · Dijon",""),IF('Roulement V2'!O35="MY","journée · 8h-18h30 · Beaune",""),IF('Roulement V2'!P35="MY","journée · 8h-18h30 · Dijon",""))</f>
        <v>J2 · 14h-22h · Beaune</v>
      </c>
      <c r="I8" t="str" s="2" cm="1">
        <f t="array" ref="I8">_xlfn.TEXTJOIN(" + ",TRUE,IF('Roulement V2'!Q28="MY","J1 · 8h-16h · Beaune",""),IF('Roulement V2'!R28="MY","J1 · 8h-16h · Dijon",""),IF('Roulement V2'!Q29="MY","J2 · 14h-22h · Beaune",""),IF('Roulement V2'!R29="MY","J2 · 14h-22h · Dijon",""),IF('Roulement V2'!Q30="MY","journée · 8h-18h30 · Beaune",""),IF('Roulement V2'!R30="MY","journée · 8h-18h30 · Dijon",""),IF('Roulement V2'!Q31="MY","journée · 8h-18h30 · Beaune",""),IF('Roulement V2'!R31="MY","journée · 8h-18h30 · Dijon",""),IF('Roulement V2'!Q32="MY","J5 · 12h-20h · Beaune",""),IF('Roulement V2'!R32="MY","J5 · 12h-20h · Dijon",""),IF('Roulement V2'!Q33="MY","préJ2/J6 · 8h-14h · Beaune",""),IF('Roulement V2'!R33="MY","préJ2/J6 · 8h-14h · Dijon",""),IF('Roulement V2'!Q34="MY","journée · 8h-18h30 · Beaune",""),IF('Roulement V2'!R34="MY","journée · 8h-18h30 · Dijon",""),IF('Roulement V2'!Q35="MY","journée · 8h-18h30 · Beaune",""),IF('Roulement V2'!R35="MY","journée · 8h-18h30 · Dijon",""))</f>
      </c>
    </row>
    <row r="9" ht="13.55" customHeight="1">
      <c r="A9" t="s" s="30">
        <v>40</v>
      </c>
      <c r="B9" t="str" s="2" cm="1">
        <f t="array" ref="B9">_xlfn.TEXTJOIN(" + ",TRUE,IF('Roulement V2'!C36="MY","J1 · 8h-16h · Beaune",""),IF('Roulement V2'!D36="MY","J1 · 8h-16h · Dijon",""),IF('Roulement V2'!C37="MY","J2 · 14h-22h · Beaune",""),IF('Roulement V2'!D37="MY","J2 · 14h-22h · Dijon",""),IF('Roulement V2'!C38="MY","journée · 8h-18h30 · Beaune",""),IF('Roulement V2'!D38="MY","journée · 8h-18h30 · Dijon",""),IF('Roulement V2'!C39="MY","journée · 8h-18h30 · Beaune",""),IF('Roulement V2'!D39="MY","journée · 8h-18h30 · Dijon",""),IF('Roulement V2'!C40="MY","J5 · 12h-20h · Beaune",""),IF('Roulement V2'!D40="MY","J5 · 12h-20h · Dijon",""),IF('Roulement V2'!C41="MY","préJ2/J6 · 8h-14h · Beaune",""),IF('Roulement V2'!D41="MY","préJ2/J6 · 8h-14h · Dijon",""),IF('Roulement V2'!C42="MY","journée · 8h-18h30 · Beaune",""),IF('Roulement V2'!D42="MY","journée · 8h-18h30 · Dijon",""),IF('Roulement V2'!C43="MY","journée · 8h-18h30 · Beaune",""),IF('Roulement V2'!D43="MY","journée · 8h-18h30 · Dijon",""))</f>
        <v>J2 · 14h-22h · Dijon</v>
      </c>
      <c r="C9" t="str" s="2" cm="1">
        <f t="array" ref="C9">_xlfn.TEXTJOIN(" + ",TRUE,IF('Roulement V2'!E36="MY","J1 · 8h-16h · Beaune",""),IF('Roulement V2'!F36="MY","J1 · 8h-16h · Dijon",""),IF('Roulement V2'!E37="MY","J2 · 14h-22h · Beaune",""),IF('Roulement V2'!F37="MY","J2 · 14h-22h · Dijon",""),IF('Roulement V2'!E38="MY","journée · 8h-18h30 · Beaune",""),IF('Roulement V2'!F38="MY","journée · 8h-18h30 · Dijon",""),IF('Roulement V2'!E39="MY","journée · 8h-18h30 · Beaune",""),IF('Roulement V2'!F39="MY","journée · 8h-18h30 · Dijon",""),IF('Roulement V2'!E40="MY","J5 · 12h-20h · Beaune",""),IF('Roulement V2'!F40="MY","J5 · 12h-20h · Dijon",""),IF('Roulement V2'!E41="MY","préJ2/J6 · 8h-14h · Beaune",""),IF('Roulement V2'!F41="MY","préJ2/J6 · 8h-14h · Dijon",""),IF('Roulement V2'!E42="MY","journée · 8h-18h30 · Beaune",""),IF('Roulement V2'!F42="MY","journée · 8h-18h30 · Dijon",""),IF('Roulement V2'!E43="MY","journée · 8h-18h30 · Beaune",""),IF('Roulement V2'!F43="MY","journée · 8h-18h30 · Dijon",""))</f>
        <v>journée · 8h-18h30 · Beaune</v>
      </c>
      <c r="D9" t="str" s="2" cm="1">
        <f t="array" ref="D9">_xlfn.TEXTJOIN(" + ",TRUE,IF('Roulement V2'!G36="MY","J1 · 8h-16h · Beaune",""),IF('Roulement V2'!H36="MY","J1 · 8h-16h · Dijon",""),IF('Roulement V2'!G37="MY","J2 · 14h-22h · Beaune",""),IF('Roulement V2'!H37="MY","J2 · 14h-22h · Dijon",""),IF('Roulement V2'!G38="MY","journée · 8h-18h30 · Beaune",""),IF('Roulement V2'!H38="MY","journée · 8h-18h30 · Dijon",""),IF('Roulement V2'!G39="MY","journée · 8h-18h30 · Beaune",""),IF('Roulement V2'!H39="MY","journée · 8h-18h30 · Dijon",""),IF('Roulement V2'!G40="MY","J5 · 12h-20h · Beaune",""),IF('Roulement V2'!H40="MY","J5 · 12h-20h · Dijon",""),IF('Roulement V2'!G41="MY","préJ2/J6 · 8h-14h · Beaune",""),IF('Roulement V2'!H41="MY","préJ2/J6 · 8h-14h · Dijon",""),IF('Roulement V2'!G42="MY","journée · 8h-18h30 · Beaune",""),IF('Roulement V2'!H42="MY","journée · 8h-18h30 · Dijon",""),IF('Roulement V2'!G43="MY","journée · 8h-18h30 · Beaune",""),IF('Roulement V2'!H43="MY","journée · 8h-18h30 · Dijon",""))</f>
        <v>J2 · 14h-22h · Beaune</v>
      </c>
      <c r="E9" t="str" s="2" cm="1">
        <f t="array" ref="E9">_xlfn.TEXTJOIN(" + ",TRUE,IF('Roulement V2'!I36="MY","J1 · 8h-16h · Beaune",""),IF('Roulement V2'!J36="MY","J1 · 8h-16h · Dijon",""),IF('Roulement V2'!I37="MY","J2 · 14h-22h · Beaune",""),IF('Roulement V2'!J37="MY","J2 · 14h-22h · Dijon",""),IF('Roulement V2'!I38="MY","journée · 8h-18h30 · Beaune",""),IF('Roulement V2'!J38="MY","journée · 8h-18h30 · Dijon",""),IF('Roulement V2'!I39="MY","journée · 8h-18h30 · Beaune",""),IF('Roulement V2'!J39="MY","journée · 8h-18h30 · Dijon",""),IF('Roulement V2'!I40="MY","J5 · 12h-20h · Beaune",""),IF('Roulement V2'!J40="MY","J5 · 12h-20h · Dijon",""),IF('Roulement V2'!I41="MY","préJ2/J6 · 8h-14h · Beaune",""),IF('Roulement V2'!J41="MY","préJ2/J6 · 8h-14h · Dijon",""),IF('Roulement V2'!I42="MY","journée · 8h-18h30 · Beaune",""),IF('Roulement V2'!J42="MY","journée · 8h-18h30 · Dijon",""),IF('Roulement V2'!I43="MY","journée · 8h-18h30 · Beaune",""),IF('Roulement V2'!J43="MY","journée · 8h-18h30 · Dijon",""))</f>
      </c>
      <c r="F9" t="str" s="2" cm="1">
        <f t="array" ref="F9">_xlfn.TEXTJOIN(" + ",TRUE,IF('Roulement V2'!K36="MY","J1 · 8h-16h · Beaune",""),IF('Roulement V2'!L36="MY","J1 · 8h-16h · Dijon",""),IF('Roulement V2'!K37="MY","J2 · 14h-22h · Beaune",""),IF('Roulement V2'!L37="MY","J2 · 14h-22h · Dijon",""),IF('Roulement V2'!K38="MY","journée · 8h-18h30 · Beaune",""),IF('Roulement V2'!L38="MY","journée · 8h-18h30 · Dijon",""),IF('Roulement V2'!K39="MY","journée · 8h-18h30 · Beaune",""),IF('Roulement V2'!L39="MY","journée · 8h-18h30 · Dijon",""),IF('Roulement V2'!K40="MY","J5 · 12h-20h · Beaune",""),IF('Roulement V2'!L40="MY","J5 · 12h-20h · Dijon",""),IF('Roulement V2'!K41="MY","préJ2/J6 · 8h-14h · Beaune",""),IF('Roulement V2'!L41="MY","préJ2/J6 · 8h-14h · Dijon",""),IF('Roulement V2'!K42="MY","journée · 8h-18h30 · Beaune",""),IF('Roulement V2'!L42="MY","journée · 8h-18h30 · Dijon",""),IF('Roulement V2'!K43="MY","journée · 8h-18h30 · Beaune",""),IF('Roulement V2'!L43="MY","journée · 8h-18h30 · Dijon",""))</f>
        <v>J2 · 14h-22h · Beaune</v>
      </c>
      <c r="G9" t="str" s="2" cm="1">
        <f t="array" ref="G9">_xlfn.TEXTJOIN(" + ",TRUE,IF('Roulement V2'!M36="MY","J1 · 8h-16h · Beaune",""),IF('Roulement V2'!N36="MY","J1 · 8h-16h · Dijon",""),IF('Roulement V2'!M37="MY","J2 · 14h-22h · Beaune",""),IF('Roulement V2'!N37="MY","J2 · 14h-22h · Dijon",""),IF('Roulement V2'!M38="MY","journée · 8h-18h30 · Beaune",""),IF('Roulement V2'!N38="MY","journée · 8h-18h30 · Dijon",""),IF('Roulement V2'!M39="MY","journée · 8h-18h30 · Beaune",""),IF('Roulement V2'!N39="MY","journée · 8h-18h30 · Dijon",""),IF('Roulement V2'!M40="MY","J5 · 12h-20h · Beaune",""),IF('Roulement V2'!N40="MY","J5 · 12h-20h · Dijon",""),IF('Roulement V2'!M41="MY","préJ2/J6 · 8h-14h · Beaune",""),IF('Roulement V2'!N41="MY","préJ2/J6 · 8h-14h · Dijon",""),IF('Roulement V2'!M42="MY","journée · 8h-18h30 · Beaune",""),IF('Roulement V2'!N42="MY","journée · 8h-18h30 · Dijon",""),IF('Roulement V2'!M43="MY","journée · 8h-18h30 · Beaune",""),IF('Roulement V2'!N43="MY","journée · 8h-18h30 · Dijon",""))</f>
        <v>journée · 8h-18h30 · Dijon</v>
      </c>
      <c r="H9" t="str" s="2" cm="1">
        <f t="array" ref="H9">_xlfn.TEXTJOIN(" + ",TRUE,IF('Roulement V2'!O36="MY","J1 · 8h-16h · Beaune",""),IF('Roulement V2'!P36="MY","J1 · 8h-16h · Dijon",""),IF('Roulement V2'!O37="MY","J2 · 14h-22h · Beaune",""),IF('Roulement V2'!P37="MY","J2 · 14h-22h · Dijon",""),IF('Roulement V2'!O38="MY","journée · 8h-18h30 · Beaune",""),IF('Roulement V2'!P38="MY","journée · 8h-18h30 · Dijon",""),IF('Roulement V2'!O39="MY","journée · 8h-18h30 · Beaune",""),IF('Roulement V2'!P39="MY","journée · 8h-18h30 · Dijon",""),IF('Roulement V2'!O40="MY","J5 · 12h-20h · Beaune",""),IF('Roulement V2'!P40="MY","J5 · 12h-20h · Dijon",""),IF('Roulement V2'!O41="MY","préJ2/J6 · 8h-14h · Beaune",""),IF('Roulement V2'!P41="MY","préJ2/J6 · 8h-14h · Dijon",""),IF('Roulement V2'!O42="MY","journée · 8h-18h30 · Beaune",""),IF('Roulement V2'!P42="MY","journée · 8h-18h30 · Dijon",""),IF('Roulement V2'!O43="MY","journée · 8h-18h30 · Beaune",""),IF('Roulement V2'!P43="MY","journée · 8h-18h30 · Dijon",""))</f>
        <v>journée · 8h-18h30 · Dijon</v>
      </c>
      <c r="I9" t="str" s="2" cm="1">
        <f t="array" ref="I9">_xlfn.TEXTJOIN(" + ",TRUE,IF('Roulement V2'!Q36="MY","J1 · 8h-16h · Beaune",""),IF('Roulement V2'!R36="MY","J1 · 8h-16h · Dijon",""),IF('Roulement V2'!Q37="MY","J2 · 14h-22h · Beaune",""),IF('Roulement V2'!R37="MY","J2 · 14h-22h · Dijon",""),IF('Roulement V2'!Q38="MY","journée · 8h-18h30 · Beaune",""),IF('Roulement V2'!R38="MY","journée · 8h-18h30 · Dijon",""),IF('Roulement V2'!Q39="MY","journée · 8h-18h30 · Beaune",""),IF('Roulement V2'!R39="MY","journée · 8h-18h30 · Dijon",""),IF('Roulement V2'!Q40="MY","J5 · 12h-20h · Beaune",""),IF('Roulement V2'!R40="MY","J5 · 12h-20h · Dijon",""),IF('Roulement V2'!Q41="MY","préJ2/J6 · 8h-14h · Beaune",""),IF('Roulement V2'!R41="MY","préJ2/J6 · 8h-14h · Dijon",""),IF('Roulement V2'!Q42="MY","journée · 8h-18h30 · Beaune",""),IF('Roulement V2'!R42="MY","journée · 8h-18h30 · Dijon",""),IF('Roulement V2'!Q43="MY","journée · 8h-18h30 · Beaune",""),IF('Roulement V2'!R43="MY","journée · 8h-18h30 · Dijon",""))</f>
        <v>journée · 8h-18h30 · Dijon</v>
      </c>
    </row>
    <row r="10" ht="13.55" customHeight="1">
      <c r="A10" t="s" s="30">
        <v>41</v>
      </c>
      <c r="B10" t="str" s="2" cm="1">
        <f t="array" ref="B10">_xlfn.TEXTJOIN(" + ",TRUE,IF('Roulement V2'!C44="MY","Garde · Beaune",""),IF('Roulement V2'!D44="MY","Garde · Dijon",""),IF('Roulement V2'!C45="MY","Doublon · Beaune",""),IF('Roulement V2'!D45="MY","Doublon · Dijon",""))</f>
      </c>
      <c r="C10" t="str" s="2" cm="1">
        <f t="array" ref="C10">_xlfn.TEXTJOIN(" + ",TRUE,IF('Roulement V2'!E44="MY","Garde · Beaune",""),IF('Roulement V2'!F44="MY","Garde · Dijon",""),IF('Roulement V2'!E45="MY","Doublon · Beaune",""),IF('Roulement V2'!F45="MY","Doublon · Dijon",""))</f>
      </c>
      <c r="D10" t="str" s="2" cm="1">
        <f t="array" ref="D10">_xlfn.TEXTJOIN(" + ",TRUE,IF('Roulement V2'!G44="MY","Garde · Beaune",""),IF('Roulement V2'!H44="MY","Garde · Dijon",""),IF('Roulement V2'!G45="MY","Doublon · Beaune",""),IF('Roulement V2'!H45="MY","Doublon · Dijon",""))</f>
      </c>
      <c r="E10" t="str" s="2" cm="1">
        <f t="array" ref="E10">_xlfn.TEXTJOIN(" + ",TRUE,IF('Roulement V2'!I44="MY","Garde · Beaune",""),IF('Roulement V2'!J44="MY","Garde · Dijon",""),IF('Roulement V2'!I45="MY","Doublon · Beaune",""),IF('Roulement V2'!J45="MY","Doublon · Dijon",""))</f>
        <v>Garde · Dijon</v>
      </c>
      <c r="F10" t="str" s="2" cm="1">
        <f t="array" ref="F10">_xlfn.TEXTJOIN(" + ",TRUE,IF('Roulement V2'!K44="MY","Garde · Beaune",""),IF('Roulement V2'!L44="MY","Garde · Dijon",""),IF('Roulement V2'!K45="MY","Doublon · Beaune",""),IF('Roulement V2'!L45="MY","Doublon · Dijon",""))</f>
      </c>
      <c r="G10" t="str" s="2" cm="1">
        <f t="array" ref="G10">_xlfn.TEXTJOIN(" + ",TRUE,IF('Roulement V2'!M44="MY","Garde · Beaune",""),IF('Roulement V2'!N44="MY","Garde · Dijon",""),IF('Roulement V2'!M45="MY","Doublon · Beaune",""),IF('Roulement V2'!N45="MY","Doublon · Dijon",""))</f>
      </c>
      <c r="H10" t="str" s="2" cm="1">
        <f t="array" ref="H10">_xlfn.TEXTJOIN(" + ",TRUE,IF('Roulement V2'!O44="MY","Garde · Beaune",""),IF('Roulement V2'!P44="MY","Garde · Dijon",""),IF('Roulement V2'!O45="MY","Doublon · Beaune",""),IF('Roulement V2'!P45="MY","Doublon · Dijon",""))</f>
      </c>
      <c r="I10" t="str" s="2" cm="1">
        <f t="array" ref="I10">_xlfn.TEXTJOIN(" + ",TRUE,IF('Roulement V2'!Q44="MY","Garde · Beaune",""),IF('Roulement V2'!R44="MY","Garde · Dijon",""),IF('Roulement V2'!Q45="MY","Doublon · Beaune",""),IF('Roulement V2'!R45="MY","Doublon · Dijon",""))</f>
        <v>Garde · Beaune</v>
      </c>
    </row>
    <row r="11" ht="13.55" customHeight="1">
      <c r="A11" t="s" s="30">
        <v>44</v>
      </c>
      <c r="B11" t="str" s="2" cm="1">
        <f t="array" ref="B11">_xlfn.TEXTJOIN(" + ",TRUE,IF('Roulement V2'!C46="MY","Garde · Beaune",""),IF('Roulement V2'!D46="MY","Garde · Dijon",""),IF('Roulement V2'!C47="MY","Doublon · Beaune",""),IF('Roulement V2'!D47="MY","Doublon · Dijon",""))</f>
      </c>
      <c r="C11" t="str" s="2" cm="1">
        <f t="array" ref="C11">_xlfn.TEXTJOIN(" + ",TRUE,IF('Roulement V2'!E46="MY","Garde · Beaune",""),IF('Roulement V2'!F46="MY","Garde · Dijon",""),IF('Roulement V2'!E47="MY","Doublon · Beaune",""),IF('Roulement V2'!F47="MY","Doublon · Dijon",""))</f>
      </c>
      <c r="D11" t="str" s="2" cm="1">
        <f t="array" ref="D11">_xlfn.TEXTJOIN(" + ",TRUE,IF('Roulement V2'!G46="MY","Garde · Beaune",""),IF('Roulement V2'!H46="MY","Garde · Dijon",""),IF('Roulement V2'!G47="MY","Doublon · Beaune",""),IF('Roulement V2'!H47="MY","Doublon · Dijon",""))</f>
      </c>
      <c r="E11" t="str" s="2" cm="1">
        <f t="array" ref="E11">_xlfn.TEXTJOIN(" + ",TRUE,IF('Roulement V2'!I46="MY","Garde · Beaune",""),IF('Roulement V2'!J46="MY","Garde · Dijon",""),IF('Roulement V2'!I47="MY","Doublon · Beaune",""),IF('Roulement V2'!J47="MY","Doublon · Dijon",""))</f>
        <v>Garde · Dijon</v>
      </c>
      <c r="F11" t="str" s="2" cm="1">
        <f t="array" ref="F11">_xlfn.TEXTJOIN(" + ",TRUE,IF('Roulement V2'!K46="MY","Garde · Beaune",""),IF('Roulement V2'!L46="MY","Garde · Dijon",""),IF('Roulement V2'!K47="MY","Doublon · Beaune",""),IF('Roulement V2'!L47="MY","Doublon · Dijon",""))</f>
      </c>
      <c r="G11" t="str" s="2" cm="1">
        <f t="array" ref="G11">_xlfn.TEXTJOIN(" + ",TRUE,IF('Roulement V2'!M46="MY","Garde · Beaune",""),IF('Roulement V2'!N46="MY","Garde · Dijon",""),IF('Roulement V2'!M47="MY","Doublon · Beaune",""),IF('Roulement V2'!N47="MY","Doublon · Dijon",""))</f>
      </c>
      <c r="H11" t="str" s="2" cm="1">
        <f t="array" ref="H11">_xlfn.TEXTJOIN(" + ",TRUE,IF('Roulement V2'!O46="MY","Garde · Beaune",""),IF('Roulement V2'!P46="MY","Garde · Dijon",""),IF('Roulement V2'!O47="MY","Doublon · Beaune",""),IF('Roulement V2'!P47="MY","Doublon · Dijon",""))</f>
      </c>
      <c r="I11" t="str" s="2" cm="1">
        <f t="array" ref="I11">_xlfn.TEXTJOIN(" + ",TRUE,IF('Roulement V2'!Q46="MY","Garde · Beaune",""),IF('Roulement V2'!R46="MY","Garde · Dijon",""),IF('Roulement V2'!Q47="MY","Doublon · Beaune",""),IF('Roulement V2'!R47="MY","Doublon · Dijon",""))</f>
        <v>Garde · Beaune</v>
      </c>
    </row>
    <row r="12" ht="13.55" customHeight="1">
      <c r="A12" s="2"/>
      <c r="B12" s="2"/>
      <c r="C12" s="2"/>
      <c r="D12" s="2"/>
      <c r="E12" s="2"/>
      <c r="F12" s="2"/>
      <c r="G12" s="2"/>
      <c r="H12" s="2"/>
      <c r="I12" s="2"/>
    </row>
    <row r="13" ht="13.55" customHeight="1">
      <c r="A13" s="2"/>
      <c r="B13" s="2"/>
      <c r="C13" s="2"/>
      <c r="D13" s="2"/>
      <c r="E13" s="2"/>
      <c r="F13" s="2"/>
      <c r="G13" s="2"/>
      <c r="H13" s="2"/>
      <c r="I13" s="2"/>
    </row>
    <row r="14" ht="13.55" customHeight="1">
      <c r="A14" t="s" s="29">
        <v>62</v>
      </c>
      <c r="B14" s="2"/>
      <c r="C14" s="2"/>
      <c r="D14" s="2"/>
      <c r="E14" s="2"/>
      <c r="F14" s="2"/>
      <c r="G14" s="2"/>
      <c r="H14" s="2"/>
      <c r="I14" s="2"/>
    </row>
    <row r="15" ht="13.55" customHeight="1">
      <c r="A15" t="s" s="30">
        <v>63</v>
      </c>
      <c r="B15" s="31" cm="1">
        <f t="array" ref="B15">COUNTIF(B5:I9,"*J1 · 8h-16h*")</f>
        <v>1</v>
      </c>
      <c r="C15" s="2"/>
      <c r="D15" t="s" s="30">
        <v>64</v>
      </c>
      <c r="E15" s="31" cm="1">
        <f t="array" ref="E15">COUNTIF(B5:I9,"*Beaune*")</f>
        <v>12</v>
      </c>
      <c r="F15" s="2"/>
      <c r="G15" s="2"/>
      <c r="H15" s="2"/>
      <c r="I15" s="2"/>
    </row>
    <row r="16" ht="13.55" customHeight="1">
      <c r="A16" t="s" s="30">
        <v>65</v>
      </c>
      <c r="B16" s="31" cm="1">
        <f t="array" ref="B16">COUNTIF(B5:I9,"*J2 · 14h-22h*")</f>
        <v>8</v>
      </c>
      <c r="C16" s="2"/>
      <c r="D16" t="s" s="30">
        <v>66</v>
      </c>
      <c r="E16" s="31" cm="1">
        <f t="array" ref="E16">COUNTIF(B5:I9,"*Dijon*")</f>
        <v>14</v>
      </c>
      <c r="F16" s="2"/>
      <c r="G16" s="2"/>
      <c r="H16" s="2"/>
      <c r="I16" s="2"/>
    </row>
    <row r="17" ht="13.55" customHeight="1">
      <c r="A17" t="s" s="30">
        <v>67</v>
      </c>
      <c r="B17" s="31" cm="1">
        <f t="array" ref="B17">COUNTIF(B5:I9,"*journée · 8h-18h30*")</f>
        <v>17</v>
      </c>
      <c r="C17" s="2"/>
      <c r="D17" s="2"/>
      <c r="E17" s="2"/>
      <c r="F17" s="2"/>
      <c r="G17" s="2"/>
      <c r="H17" s="2"/>
      <c r="I17" s="2"/>
    </row>
    <row r="18" ht="13.55" customHeight="1">
      <c r="A18" t="s" s="30">
        <v>68</v>
      </c>
      <c r="B18" s="31" cm="1">
        <f t="array" ref="B18">COUNTIF(B5:I9,"?*")</f>
        <v>26</v>
      </c>
      <c r="C18" s="2"/>
      <c r="D18" t="s" s="30">
        <v>69</v>
      </c>
      <c r="E18" s="31" cm="1">
        <f t="array" ref="E18">COUNTIF(B10:I11,"*Garde*")</f>
        <v>4</v>
      </c>
      <c r="F18" s="2"/>
      <c r="G18" s="2"/>
      <c r="H18" s="2"/>
      <c r="I18" s="2"/>
    </row>
    <row r="19" ht="13.55" customHeight="1">
      <c r="A19" s="2"/>
      <c r="B19" s="2"/>
      <c r="C19" s="2"/>
      <c r="D19" t="s" s="30">
        <v>70</v>
      </c>
      <c r="E19" s="31" cm="1">
        <f t="array" ref="E19">COUNTIF(B10:I11,"*Doublon*")</f>
        <v>0</v>
      </c>
      <c r="F19" s="2"/>
      <c r="G19" s="2"/>
      <c r="H19" s="2"/>
      <c r="I19" s="2"/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